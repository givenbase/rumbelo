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" sheetId="1" state="visible" r:id="rId3"/>
    <sheet name="Dashboard" sheetId="2" state="visible" r:id="rId4"/>
    <sheet name="Categorieën" sheetId="3" state="visible" r:id="rId5"/>
    <sheet name="Vaste lasten" sheetId="4" state="visible" r:id="rId6"/>
    <sheet name="Vaste inkomsten" sheetId="5" state="visible" r:id="rId7"/>
    <sheet name="Schulden" sheetId="6" state="visible" r:id="rId8"/>
    <sheet name="Transacties" sheetId="7" state="visible" r:id="rId9"/>
    <sheet name="Jaaroverzicht" sheetId="8" state="visible" r:id="rId10"/>
    <sheet name="Lijsten" sheetId="9" state="visible" r:id="rId11"/>
  </sheets>
  <definedNames>
    <definedName function="false" hidden="true" localSheetId="6" name="_xlnm._FilterDatabase" vbProcedure="false">Transacties!$A$7:$H$507</definedName>
    <definedName function="false" hidden="true" localSheetId="4" name="_xlnm._FilterDatabase" vbProcedure="false">'Vaste inkomsten'!$A$7:$J$37</definedName>
    <definedName function="false" hidden="true" localSheetId="3" name="_xlnm._FilterDatabase" vbProcedure="false">'Vaste lasten'!$A$7:$J$207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<sst xmlns="http://schemas.openxmlformats.org/spreadsheetml/2006/main" count="331" uniqueCount="229">
  <si>
    <t xml:space="preserve">MAANDBUDGET</t>
  </si>
  <si>
    <t xml:space="preserve">Klik op een tegel om te beginnen. Alle bedragen in dit sjabloon zijn voorbeelden.</t>
  </si>
  <si>
    <t xml:space="preserve">INVULLEN — wekelijks</t>
  </si>
  <si>
    <t xml:space="preserve">BEKIJKEN — vult zichzelf</t>
  </si>
  <si>
    <t xml:space="preserve">EENMALIG INSTELLEN</t>
  </si>
  <si>
    <t xml:space="preserve">TRANSACTIES</t>
  </si>
  <si>
    <t xml:space="preserve">DASHBOARD</t>
  </si>
  <si>
    <t xml:space="preserve">VASTE LASTEN</t>
  </si>
  <si>
    <t xml:space="preserve">noteer een uitgave of inkomst</t>
  </si>
  <si>
    <t xml:space="preserve">je maand in één oogopslag</t>
  </si>
  <si>
    <t xml:space="preserve">alles wat maandelijks terugkeert</t>
  </si>
  <si>
    <t xml:space="preserve">Dit is 90% van je gebruik:</t>
  </si>
  <si>
    <t xml:space="preserve">CATEGORIEËN</t>
  </si>
  <si>
    <t xml:space="preserve">VASTE INKOMSTEN</t>
  </si>
  <si>
    <t xml:space="preserve">uitgave erbij → Transacties,</t>
  </si>
  <si>
    <t xml:space="preserve">begroot tegenover werkelijk</t>
  </si>
  <si>
    <t xml:space="preserve">salaris en vaste inkomsten</t>
  </si>
  <si>
    <t xml:space="preserve">daarna kijken → Dashboard.</t>
  </si>
  <si>
    <t xml:space="preserve">JAAROVERZICHT</t>
  </si>
  <si>
    <t xml:space="preserve">SCHULDEN</t>
  </si>
  <si>
    <t xml:space="preserve">alle maanden naast elkaar</t>
  </si>
  <si>
    <t xml:space="preserve">saldo, rente en aflossing</t>
  </si>
  <si>
    <t xml:space="preserve">LIJSTEN</t>
  </si>
  <si>
    <t xml:space="preserve">keuzelijsten — zelden nodig</t>
  </si>
  <si>
    <t xml:space="preserve">ZO ZIT HET IN ELKAAR</t>
  </si>
  <si>
    <t xml:space="preserve">•  Elk bedrag staat op precies één tabblad — nooit twee keer invullen.</t>
  </si>
  <si>
    <t xml:space="preserve">•  Vaste lasten, inkomsten en schulden vul je één keer in; daarna draait alles vanzelf.</t>
  </si>
  <si>
    <t xml:space="preserve">•  Kwartaal- of jaarrekening? Kies de frequentie en betaalmaand; het maandbedrag volgt automatisch.</t>
  </si>
  <si>
    <t xml:space="preserve">•  Op elk tabblad staat rechtsboven een knop terug naar dit menu.</t>
  </si>
  <si>
    <t xml:space="preserve">KLEUREN</t>
  </si>
  <si>
    <t xml:space="preserve">  Aa</t>
  </si>
  <si>
    <t xml:space="preserve">Geel = hier vul je iets in</t>
  </si>
  <si>
    <t xml:space="preserve">Paars = berekend voor de gekozen maand</t>
  </si>
  <si>
    <t xml:space="preserve">Grijs = categorie (nog) niet in gebruik</t>
  </si>
  <si>
    <t xml:space="preserve">Formules staan in alle niet-gekleurde cellen — laat die met rust. Kapotgemaakt? Download het origineel opnieuw.</t>
  </si>
  <si>
    <t xml:space="preserve">maandnr</t>
  </si>
  <si>
    <t xml:space="preserve">⌂  Menu</t>
  </si>
  <si>
    <t xml:space="preserve">Alleen cijfers en signalen. Invoeren doe je op de andere tabbladen; het detail per categorie staat op Categorieën.</t>
  </si>
  <si>
    <t xml:space="preserve">sleutel</t>
  </si>
  <si>
    <t xml:space="preserve">Weergave</t>
  </si>
  <si>
    <t xml:space="preserve">Gemiddeld per maand</t>
  </si>
  <si>
    <t xml:space="preserve">Jaar- en kwartaalposten uitsmeren, of tonen in de maand van afschrijving</t>
  </si>
  <si>
    <t xml:space="preserve">Maand</t>
  </si>
  <si>
    <t xml:space="preserve">augustus</t>
  </si>
  <si>
    <t xml:space="preserve">Jaar</t>
  </si>
  <si>
    <t xml:space="preserve">INKOMSTEN</t>
  </si>
  <si>
    <t xml:space="preserve">UITGAVEN</t>
  </si>
  <si>
    <t xml:space="preserve">OVER</t>
  </si>
  <si>
    <t xml:space="preserve">KENGETALLEN DEZE MAAND</t>
  </si>
  <si>
    <t xml:space="preserve">Deel van je inkomen dat overblijft</t>
  </si>
  <si>
    <t xml:space="preserve">Vuistregel: 10% of meer</t>
  </si>
  <si>
    <t xml:space="preserve">Vaste lasten</t>
  </si>
  <si>
    <t xml:space="preserve">Huur, verzekeringen, abonnementen</t>
  </si>
  <si>
    <t xml:space="preserve">Schuldtermijnen</t>
  </si>
  <si>
    <t xml:space="preserve">Komt van tabblad Schulden</t>
  </si>
  <si>
    <t xml:space="preserve">Variabele uitgaven</t>
  </si>
  <si>
    <t xml:space="preserve">Alles uit Transacties</t>
  </si>
  <si>
    <t xml:space="preserve">Vaste lasten als deel van inkomen</t>
  </si>
  <si>
    <t xml:space="preserve">Onder 50% is comfortabel</t>
  </si>
  <si>
    <t xml:space="preserve">Opzij gezet</t>
  </si>
  <si>
    <t xml:space="preserve">Categorie Sparen &amp; reserveringen</t>
  </si>
  <si>
    <t xml:space="preserve">Actieve vaste lasten</t>
  </si>
  <si>
    <t xml:space="preserve">Op tabblad Vaste lasten</t>
  </si>
  <si>
    <t xml:space="preserve">GROOTSTE UITGAVEN DEZE MAAND</t>
  </si>
  <si>
    <t xml:space="preserve">Percentage = aandeel in je totale uitgaven deze maand.</t>
  </si>
  <si>
    <t xml:space="preserve">Totale schuld</t>
  </si>
  <si>
    <t xml:space="preserve">Maandlast</t>
  </si>
  <si>
    <t xml:space="preserve">Schuldenvrij rond</t>
  </si>
  <si>
    <t xml:space="preserve">Aflosvolgorde en einddatums staan op tabblad Schulden.</t>
  </si>
  <si>
    <t xml:space="preserve">DIT JAAR</t>
  </si>
  <si>
    <t xml:space="preserve">Verwacht over aan het eind van het jaar</t>
  </si>
  <si>
    <t xml:space="preserve">Duurste maand</t>
  </si>
  <si>
    <t xml:space="preserve">Uitgaven in die maand</t>
  </si>
  <si>
    <t xml:space="preserve">SIGNALEN</t>
  </si>
  <si>
    <t xml:space="preserve">WAAR VUL IK WAT IN?</t>
  </si>
  <si>
    <t xml:space="preserve">Vaste lasten → alles wat terugkeert, met je eigen naam per regel. 200 regels beschikbaar.</t>
  </si>
  <si>
    <t xml:space="preserve">Vaste inkomsten → salaris en andere vaste inkomsten.</t>
  </si>
  <si>
    <t xml:space="preserve">Schulden → openstaande schulden; de maandtermijn telt automatisch mee als vaste last.</t>
  </si>
  <si>
    <t xml:space="preserve">Transacties → alleen wat wisselt: boodschappen, tanken, uit eten, losse inkomsten.</t>
  </si>
  <si>
    <t xml:space="preserve">Categorieën → begroot tegenover werkelijk per categorie, plus je variabele budgetten.</t>
  </si>
  <si>
    <t xml:space="preserve">Lijsten → alleen keuzelijsten: categorieën, bedrijven, schuldeisers, betaalmethoden.</t>
  </si>
  <si>
    <t xml:space="preserve">Weergave bovenaan: uitsmeren over het jaar, of tonen in de maand van afschrijving.</t>
  </si>
  <si>
    <t xml:space="preserve">Dashboard ▸</t>
  </si>
  <si>
    <t xml:space="preserve">Begroot tegenover werkelijk, per categorie, voor de maand die op het Dashboard staat.</t>
  </si>
  <si>
    <t xml:space="preserve">Optelling van tabblad Vaste inkomsten + losse inkomsten uit Transacties. Hier vul je niets in.</t>
  </si>
  <si>
    <t xml:space="preserve">Categorie</t>
  </si>
  <si>
    <t xml:space="preserve">Budget variabel</t>
  </si>
  <si>
    <t xml:space="preserve">Begroot totaal</t>
  </si>
  <si>
    <t xml:space="preserve">Werkelijk</t>
  </si>
  <si>
    <t xml:space="preserve">Verschil</t>
  </si>
  <si>
    <t xml:space="preserve">% budget</t>
  </si>
  <si>
    <t xml:space="preserve">Totaal inkomsten</t>
  </si>
  <si>
    <t xml:space="preserve">Optelling van Vaste lasten + Schulden + Transacties. Alleen de gele kolom vul je zelf in.</t>
  </si>
  <si>
    <t xml:space="preserve">Totaal uitgaven</t>
  </si>
  <si>
    <t xml:space="preserve">Controle</t>
  </si>
  <si>
    <t xml:space="preserve">Beide € 0,00? Dan hangt alles aan een categorie.</t>
  </si>
  <si>
    <t xml:space="preserve">Eén regel per post, met je eigen naam. Ruimte voor 200 regels — specificeer gerust alles apart.</t>
  </si>
  <si>
    <t xml:space="preserve">Betaal je iets per kwartaal of per jaar? Zet het factuurbedrag in 'Bedrag', kies de frequentie en vul de betaalmaand in.</t>
  </si>
  <si>
    <t xml:space="preserve">Totaal vaste lasten per maand</t>
  </si>
  <si>
    <t xml:space="preserve">in gekozen maand:</t>
  </si>
  <si>
    <t xml:space="preserve">Omschrijving</t>
  </si>
  <si>
    <t xml:space="preserve">Leverancier</t>
  </si>
  <si>
    <t xml:space="preserve">Bedrag</t>
  </si>
  <si>
    <t xml:space="preserve">Frequentie</t>
  </si>
  <si>
    <t xml:space="preserve">Betaalmaand</t>
  </si>
  <si>
    <t xml:space="preserve">Bedrag p/m</t>
  </si>
  <si>
    <t xml:space="preserve">Actief</t>
  </si>
  <si>
    <t xml:space="preserve">Notitie</t>
  </si>
  <si>
    <t xml:space="preserve">Bedrag deze maand</t>
  </si>
  <si>
    <t xml:space="preserve">januari</t>
  </si>
  <si>
    <t xml:space="preserve">februari</t>
  </si>
  <si>
    <t xml:space="preserve">maart</t>
  </si>
  <si>
    <t xml:space="preserve">april</t>
  </si>
  <si>
    <t xml:space="preserve">mei</t>
  </si>
  <si>
    <t xml:space="preserve">juni</t>
  </si>
  <si>
    <t xml:space="preserve">juli</t>
  </si>
  <si>
    <t xml:space="preserve">september</t>
  </si>
  <si>
    <t xml:space="preserve">oktober</t>
  </si>
  <si>
    <t xml:space="preserve">november</t>
  </si>
  <si>
    <t xml:space="preserve">december</t>
  </si>
  <si>
    <t xml:space="preserve">mnr</t>
  </si>
  <si>
    <t xml:space="preserve">Huur</t>
  </si>
  <si>
    <t xml:space="preserve">Woningcorporatie</t>
  </si>
  <si>
    <t xml:space="preserve">Per maand</t>
  </si>
  <si>
    <t xml:space="preserve">Wonen</t>
  </si>
  <si>
    <t xml:space="preserve">Ja</t>
  </si>
  <si>
    <t xml:space="preserve">VOORBEELDREGEL — overschrijf of verwijder</t>
  </si>
  <si>
    <t xml:space="preserve">Wegenbelasting</t>
  </si>
  <si>
    <t xml:space="preserve">Belastingdienst</t>
  </si>
  <si>
    <t xml:space="preserve">Per kwartaal</t>
  </si>
  <si>
    <t xml:space="preserve">Auto &amp; vervoer</t>
  </si>
  <si>
    <t xml:space="preserve">VOORBEELD van een kwartaalpost</t>
  </si>
  <si>
    <t xml:space="preserve">Alles wat regelmatig binnenkomt. Losse inkomsten (verkoop, teruggave) horen op Transacties.</t>
  </si>
  <si>
    <t xml:space="preserve">Totaal vaste inkomsten per maand</t>
  </si>
  <si>
    <t xml:space="preserve">Bron</t>
  </si>
  <si>
    <t xml:space="preserve">Salaris</t>
  </si>
  <si>
    <t xml:space="preserve">Werkgever</t>
  </si>
  <si>
    <t xml:space="preserve">VOORBEELDREGEL — vervang door je eigen netto salaris</t>
  </si>
  <si>
    <t xml:space="preserve">Openstaande schulden met hun maandtermijn. De termijnen tellen automatisch mee als vaste last — zet ze dus NIET ook bij Vaste lasten.</t>
  </si>
  <si>
    <t xml:space="preserve">Vul saldo, rente en maandtermijn in; looptijd en einddatum rekent het bestand zelf uit.</t>
  </si>
  <si>
    <t xml:space="preserve">Schuldeiser</t>
  </si>
  <si>
    <t xml:space="preserve">Waarvoor</t>
  </si>
  <si>
    <t xml:space="preserve">Openstaand saldo</t>
  </si>
  <si>
    <t xml:space="preserve">Rente % p/j</t>
  </si>
  <si>
    <t xml:space="preserve">Maandtermijn</t>
  </si>
  <si>
    <t xml:space="preserve">Maanden te gaan</t>
  </si>
  <si>
    <t xml:space="preserve">Verwacht klaar</t>
  </si>
  <si>
    <t xml:space="preserve">Prioriteit</t>
  </si>
  <si>
    <t xml:space="preserve">DUO</t>
  </si>
  <si>
    <t xml:space="preserve">Studieschuld</t>
  </si>
  <si>
    <t xml:space="preserve">Schulden &amp; aflossingen</t>
  </si>
  <si>
    <t xml:space="preserve">VOORBEELDREGEL — vervang door je eigen schuld</t>
  </si>
  <si>
    <t xml:space="preserve">Prioriteit 1 = hoogste rente. Los die eerst extra af; dat kost je het minste geld (lawinemethode).</t>
  </si>
  <si>
    <t xml:space="preserve">Wil je liever snel resultaat zien? Los dan de kleinste schuld eerst af (sneeuwbalmethode).</t>
  </si>
  <si>
    <t xml:space="preserve">Alleen wat wisselt per maand: boodschappen, tanken, uit eten, losse inkomsten. Vaste posten staan al op hun eigen tabblad.</t>
  </si>
  <si>
    <t xml:space="preserve">Het type (uitgave of inkomst) volgt automatisch uit de categorie die je kiest.</t>
  </si>
  <si>
    <t xml:space="preserve">Datum</t>
  </si>
  <si>
    <t xml:space="preserve">Type (auto)</t>
  </si>
  <si>
    <t xml:space="preserve">Betaalmethode</t>
  </si>
  <si>
    <t xml:space="preserve">Maandsleutel</t>
  </si>
  <si>
    <t xml:space="preserve">Boodschappen &amp; eten</t>
  </si>
  <si>
    <t xml:space="preserve">Supermarkt weekboodschappen</t>
  </si>
  <si>
    <t xml:space="preserve">Bankpas</t>
  </si>
  <si>
    <t xml:space="preserve">Volgt het jaar dat je op het Dashboard kiest.</t>
  </si>
  <si>
    <t xml:space="preserve">Inkomsten</t>
  </si>
  <si>
    <t xml:space="preserve">Uitgaven</t>
  </si>
  <si>
    <t xml:space="preserve">Saldo</t>
  </si>
  <si>
    <t xml:space="preserve">Cumulatief saldo</t>
  </si>
  <si>
    <t xml:space="preserve">Totaal jaar</t>
  </si>
  <si>
    <t xml:space="preserve">Staat het Dashboard op 'Werkelijke betaalmaand'? Dan zie je hier de echte pieken van jaar- en kwartaalrekeningen.</t>
  </si>
  <si>
    <t xml:space="preserve">Alleen keuzelijsten — geen bedragen. Wat je hier toevoegt verschijnt in de dropdowns op de andere tabbladen.</t>
  </si>
  <si>
    <t xml:space="preserve">Vul lege regels aan met je eigen categorieën, bedrijven of schuldeisers.</t>
  </si>
  <si>
    <t xml:space="preserve">Categorie — inkomsten</t>
  </si>
  <si>
    <t xml:space="preserve">Categorie — uitgaven</t>
  </si>
  <si>
    <t xml:space="preserve">Bedrijven / leveranciers</t>
  </si>
  <si>
    <t xml:space="preserve">Schuldeisers</t>
  </si>
  <si>
    <t xml:space="preserve">Maanden</t>
  </si>
  <si>
    <t xml:space="preserve">Alle categorieën (auto)</t>
  </si>
  <si>
    <t xml:space="preserve">Vakantiegeld</t>
  </si>
  <si>
    <t xml:space="preserve">Nutsvoorzieningen</t>
  </si>
  <si>
    <t xml:space="preserve">Energieleverancier</t>
  </si>
  <si>
    <t xml:space="preserve">Bank</t>
  </si>
  <si>
    <t xml:space="preserve">Contant</t>
  </si>
  <si>
    <t xml:space="preserve">Per week</t>
  </si>
  <si>
    <t xml:space="preserve">Bonus / extra werk</t>
  </si>
  <si>
    <t xml:space="preserve">Telefoon &amp; internet</t>
  </si>
  <si>
    <t xml:space="preserve">Waterbedrijf</t>
  </si>
  <si>
    <t xml:space="preserve">Creditcardmaatschappij</t>
  </si>
  <si>
    <t xml:space="preserve">Creditcard</t>
  </si>
  <si>
    <t xml:space="preserve">Toeslagen</t>
  </si>
  <si>
    <t xml:space="preserve">Technologie &amp; software</t>
  </si>
  <si>
    <t xml:space="preserve">Internetprovider</t>
  </si>
  <si>
    <t xml:space="preserve">Automatische incasso</t>
  </si>
  <si>
    <t xml:space="preserve">Per half jaar</t>
  </si>
  <si>
    <t xml:space="preserve">Overig inkomen</t>
  </si>
  <si>
    <t xml:space="preserve">Verzekeringen</t>
  </si>
  <si>
    <t xml:space="preserve">Telefoonprovider</t>
  </si>
  <si>
    <t xml:space="preserve">Overboeking</t>
  </si>
  <si>
    <t xml:space="preserve">Per jaar</t>
  </si>
  <si>
    <t xml:space="preserve">Zorgverzekeraar</t>
  </si>
  <si>
    <t xml:space="preserve">Tikkie</t>
  </si>
  <si>
    <t xml:space="preserve">Belastingen</t>
  </si>
  <si>
    <t xml:space="preserve">Autoverzekeraar</t>
  </si>
  <si>
    <t xml:space="preserve">Online</t>
  </si>
  <si>
    <t xml:space="preserve">Anders</t>
  </si>
  <si>
    <t xml:space="preserve">Uit eten &amp; horeca</t>
  </si>
  <si>
    <t xml:space="preserve">Gemeente</t>
  </si>
  <si>
    <t xml:space="preserve">Gezondheid &amp; zorg</t>
  </si>
  <si>
    <t xml:space="preserve">Waterschap</t>
  </si>
  <si>
    <t xml:space="preserve">Persoonlijke verzorging</t>
  </si>
  <si>
    <t xml:space="preserve">Streamingdienst</t>
  </si>
  <si>
    <t xml:space="preserve">Kleding</t>
  </si>
  <si>
    <t xml:space="preserve">Sportschool</t>
  </si>
  <si>
    <t xml:space="preserve">Huishouden</t>
  </si>
  <si>
    <t xml:space="preserve">Abonnementen &amp; media</t>
  </si>
  <si>
    <t xml:space="preserve">Sport &amp; fitness</t>
  </si>
  <si>
    <t xml:space="preserve">Vrije tijd &amp; uitjes</t>
  </si>
  <si>
    <t xml:space="preserve">Vakantie &amp; reizen</t>
  </si>
  <si>
    <t xml:space="preserve">Studie &amp; ontwikkeling</t>
  </si>
  <si>
    <t xml:space="preserve">Kinderen &amp; alimentatie</t>
  </si>
  <si>
    <t xml:space="preserve">Giften &amp; goede doelen</t>
  </si>
  <si>
    <t xml:space="preserve">Huisdieren</t>
  </si>
  <si>
    <t xml:space="preserve">Sparen &amp; reserveringen</t>
  </si>
  <si>
    <t xml:space="preserve">Zakelijk</t>
  </si>
  <si>
    <t xml:space="preserve">Onvoorzien</t>
  </si>
  <si>
    <t xml:space="preserve">Overig</t>
  </si>
  <si>
    <t xml:space="preserve">Let op: het Dashboard leest de categorielijsten op volgorde. Voeg nieuwe categorieën onderaan een lijst toe,</t>
  </si>
  <si>
    <t xml:space="preserve">anders schuiven de variabele budgetten op het Dashboard mee met de rijen.</t>
  </si>
  <si>
    <t xml:space="preserve">Niet aanpassen — vult zichzelf.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</si>
</sst>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General"/>
    <numFmt numFmtId="166" formatCode="0"/>
    <numFmt numFmtId="167" formatCode="&quot;€ &quot;#,##0.00;[RED]&quot;-€ &quot;#,##0.00"/>
    <numFmt numFmtId="168" formatCode="0%"/>
    <numFmt numFmtId="169" formatCode="mmmm\ yyyy"/>
    <numFmt numFmtId="170" formatCode="&quot;€ &quot;#,##0"/>
    <numFmt numFmtId="171" formatCode="0.00\%"/>
    <numFmt numFmtId="172" formatCode="mmm\ yyyy"/>
    <numFmt numFmtId="173" formatCode="dd\-mm\-yyyy"/>
  </numFmts>
  <fonts count="4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1F2937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0"/>
      <color rgb="FF0891B2"/>
      <name val="Arial"/>
      <family val="0"/>
      <charset val="1"/>
    </font>
    <font>
      <b val="true"/>
      <sz val="10"/>
      <color rgb="FF1D4ED8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8"/>
      <color rgb="FFE5E7EB"/>
      <name val="Arial"/>
      <family val="0"/>
      <charset val="1"/>
    </font>
    <font>
      <i val="true"/>
      <sz val="9"/>
      <color rgb="FF6B7280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2"/>
      <color rgb="FF1D4ED8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b val="true"/>
      <sz val="10"/>
      <color rgb="FF6D28D9"/>
      <name val="Arial"/>
      <family val="0"/>
      <charset val="1"/>
    </font>
    <font>
      <b val="true"/>
      <sz val="10"/>
      <color rgb="FFC7CBD1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20"/>
      <color rgb="FF1F2937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1D4ED8"/>
      <name val="Arial"/>
      <family val="0"/>
      <charset val="1"/>
    </font>
    <font>
      <b val="true"/>
      <sz val="9"/>
      <color rgb="FF047857"/>
      <name val="Arial"/>
      <family val="0"/>
      <charset val="1"/>
    </font>
    <font>
      <b val="true"/>
      <sz val="9"/>
      <color rgb="FFB91C1C"/>
      <name val="Arial"/>
      <family val="0"/>
      <charset val="1"/>
    </font>
    <font>
      <b val="true"/>
      <sz val="9"/>
      <color rgb="FF1D4ED8"/>
      <name val="Arial"/>
      <family val="0"/>
      <charset val="1"/>
    </font>
    <font>
      <b val="true"/>
      <sz val="16"/>
      <color rgb="FF047857"/>
      <name val="Arial"/>
      <family val="0"/>
      <charset val="1"/>
    </font>
    <font>
      <b val="true"/>
      <sz val="16"/>
      <color rgb="FFB91C1C"/>
      <name val="Arial"/>
      <family val="0"/>
      <charset val="1"/>
    </font>
    <font>
      <b val="true"/>
      <sz val="16"/>
      <color rgb="FF1D4ED8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b val="true"/>
      <sz val="11"/>
      <color rgb="FFB91C1C"/>
      <name val="Arial"/>
      <family val="0"/>
      <charset val="1"/>
    </font>
    <font>
      <b val="true"/>
      <sz val="11"/>
      <color rgb="FF6D28D9"/>
      <name val="Arial"/>
      <family val="0"/>
      <charset val="1"/>
    </font>
    <font>
      <b val="true"/>
      <sz val="11"/>
      <color rgb="FF047857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8"/>
      <color rgb="FF1F2937"/>
      <name val="Arial"/>
      <family val="0"/>
      <charset val="1"/>
    </font>
    <font>
      <sz val="9"/>
      <color rgb="FFD1D5DB"/>
      <name val="Arial"/>
      <family val="0"/>
      <charset val="1"/>
    </font>
    <font>
      <sz val="10"/>
      <color rgb="FF1D4ED8"/>
      <name val="Arial"/>
      <family val="0"/>
      <charset val="1"/>
    </font>
    <font>
      <b val="true"/>
      <sz val="10"/>
      <color rgb="FF6B7280"/>
      <name val="Arial"/>
      <family val="0"/>
      <charset val="1"/>
    </font>
    <font>
      <b val="true"/>
      <sz val="16"/>
      <color rgb="FF1F2937"/>
      <name val="Arial"/>
      <family val="0"/>
      <charset val="1"/>
    </font>
    <font>
      <b val="true"/>
      <sz val="13"/>
      <color rgb="FF1D4ED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F2937"/>
      <name val="Arial"/>
      <family val="0"/>
      <charset val="1"/>
    </font>
    <font>
      <b val="true"/>
      <sz val="13"/>
      <color rgb="FF6D28D9"/>
      <name val="Arial"/>
      <family val="0"/>
      <charset val="1"/>
    </font>
    <font>
      <b val="true"/>
      <sz val="11"/>
      <color rgb="FF008000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0891B2"/>
        <bgColor rgb="FF0F766E"/>
      </patternFill>
    </fill>
    <fill>
      <patternFill patternType="solid">
        <fgColor rgb="FF1D4ED8"/>
        <bgColor rgb="FF4A7EBB"/>
      </patternFill>
    </fill>
    <fill>
      <patternFill patternType="solid">
        <fgColor rgb="FFB45309"/>
        <bgColor rgb="FFBE4B48"/>
      </patternFill>
    </fill>
    <fill>
      <patternFill patternType="solid">
        <fgColor rgb="FF0F766E"/>
        <bgColor rgb="FF047857"/>
      </patternFill>
    </fill>
    <fill>
      <patternFill patternType="solid">
        <fgColor rgb="FF047857"/>
        <bgColor rgb="FF0F766E"/>
      </patternFill>
    </fill>
    <fill>
      <patternFill patternType="solid">
        <fgColor rgb="FF4B5563"/>
        <bgColor rgb="FF6B7280"/>
      </patternFill>
    </fill>
    <fill>
      <patternFill patternType="solid">
        <fgColor rgb="FF6D28D9"/>
        <bgColor rgb="FF800080"/>
      </patternFill>
    </fill>
    <fill>
      <patternFill patternType="solid">
        <fgColor rgb="FF9CA3AF"/>
        <bgColor rgb="FF878787"/>
      </patternFill>
    </fill>
    <fill>
      <patternFill patternType="solid">
        <fgColor rgb="FFFEF9E7"/>
        <bgColor rgb="FFFEF2F2"/>
      </patternFill>
    </fill>
    <fill>
      <patternFill patternType="solid">
        <fgColor rgb="FFF5F3FF"/>
        <bgColor rgb="FFEFF6FF"/>
      </patternFill>
    </fill>
    <fill>
      <patternFill patternType="solid">
        <fgColor rgb="FFFFFFFF"/>
        <bgColor rgb="FFF9FAFB"/>
      </patternFill>
    </fill>
    <fill>
      <patternFill patternType="solid">
        <fgColor rgb="FF111827"/>
        <bgColor rgb="FF1F2937"/>
      </patternFill>
    </fill>
    <fill>
      <patternFill patternType="solid">
        <fgColor rgb="FFECFDF5"/>
        <bgColor rgb="FFEFF6FF"/>
      </patternFill>
    </fill>
    <fill>
      <patternFill patternType="solid">
        <fgColor rgb="FFFEF2F2"/>
        <bgColor rgb="FFFEF9E7"/>
      </patternFill>
    </fill>
    <fill>
      <patternFill patternType="solid">
        <fgColor rgb="FFEFF6FF"/>
        <bgColor rgb="FFF5F3FF"/>
      </patternFill>
    </fill>
    <fill>
      <patternFill patternType="solid">
        <fgColor rgb="FFF9FAFB"/>
        <bgColor rgb="FFFFFF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/>
      <diagonal/>
    </border>
    <border diagonalUp="false" diagonalDown="false"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 diagonalUp="false" diagonalDown="false">
      <left/>
      <right/>
      <top/>
      <bottom style="medium">
        <color rgb="FF1D4ED8"/>
      </bottom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/>
      <right/>
      <top/>
      <bottom style="thin">
        <color rgb="FFE5E7EB"/>
      </bottom>
      <diagonal/>
    </border>
    <border diagonalUp="false" diagonalDown="false">
      <left/>
      <right/>
      <top/>
      <bottom style="medium">
        <color rgb="FFB91C1C"/>
      </bottom>
      <diagonal/>
    </border>
    <border diagonalUp="false" diagonalDown="false">
      <left/>
      <right/>
      <top/>
      <bottom style="medium">
        <color rgb="FF6D28D9"/>
      </bottom>
      <diagonal/>
    </border>
    <border diagonalUp="false" diagonalDown="false">
      <left/>
      <right/>
      <top/>
      <bottom style="medium">
        <color rgb="FF047857"/>
      </bottom>
      <diagonal/>
    </border>
    <border diagonalUp="false" diagonalDown="false">
      <left/>
      <right/>
      <top/>
      <bottom style="medium">
        <color rgb="FF1F2937"/>
      </bottom>
      <diagonal/>
    </border>
    <border diagonalUp="false" diagonalDown="false">
      <left/>
      <right/>
      <top style="thin">
        <color rgb="FF1F293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1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1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1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4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1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8" fillId="1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17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8" fillId="17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7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8" fillId="1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1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17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17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4" fillId="1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12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11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11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0" fillId="11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1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17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1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7" fillId="12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5" fillId="1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7" fillId="1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1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17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5" fillId="17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7" fillId="17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17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8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6" fillId="1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1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0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1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1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11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6" fillId="1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36" fillId="1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ont>
        <name val="Arial"/>
        <charset val="1"/>
        <family val="0"/>
        <color rgb="FFC7CBD1"/>
        <sz val="10"/>
      </font>
    </dxf>
    <dxf>
      <font>
        <name val="Arial"/>
        <charset val="1"/>
        <family val="0"/>
        <b val="1"/>
        <color rgb="FFB91C1C"/>
        <sz val="10"/>
      </font>
    </dxf>
    <dxf>
      <fill>
        <patternFill patternType="solid">
          <fgColor rgb="FF111827"/>
          <bgColor rgb="FF000000"/>
        </patternFill>
      </fill>
    </dxf>
    <dxf>
      <fill>
        <patternFill patternType="solid">
          <fgColor rgb="FFFEF9E7"/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D4ED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6B7280"/>
          <bgColor rgb="FF000000"/>
        </patternFill>
      </fill>
    </dxf>
    <dxf>
      <fill>
        <patternFill patternType="solid">
          <fgColor rgb="FF6D28D9"/>
          <bgColor rgb="FF000000"/>
        </patternFill>
      </fill>
    </dxf>
    <dxf>
      <fill>
        <patternFill patternType="solid">
          <fgColor rgb="FFF5F3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D28D9"/>
      <rgbColor rgb="FF0F766E"/>
      <rgbColor rgb="FFC7CBD1"/>
      <rgbColor rgb="FF878787"/>
      <rgbColor rgb="FF4F81BD"/>
      <rgbColor rgb="FFBE4B48"/>
      <rgbColor rgb="FFFEF9E7"/>
      <rgbColor rgb="FFECFDF5"/>
      <rgbColor rgb="FF660066"/>
      <rgbColor rgb="FFFF8080"/>
      <rgbColor rgb="FF1D4ED8"/>
      <rgbColor rgb="FFD1D5DB"/>
      <rgbColor rgb="FF000080"/>
      <rgbColor rgb="FFFF00FF"/>
      <rgbColor rgb="FFFFFF00"/>
      <rgbColor rgb="FF00FFFF"/>
      <rgbColor rgb="FF800080"/>
      <rgbColor rgb="FF800000"/>
      <rgbColor rgb="FF047857"/>
      <rgbColor rgb="FF0000FF"/>
      <rgbColor rgb="FF00CCFF"/>
      <rgbColor rgb="FFEFF6FF"/>
      <rgbColor rgb="FFE5E7EB"/>
      <rgbColor rgb="FFFEF2F2"/>
      <rgbColor rgb="FFF5F3FF"/>
      <rgbColor rgb="FFF9FAFB"/>
      <rgbColor rgb="FFCC99FF"/>
      <rgbColor rgb="FFD9D9D9"/>
      <rgbColor rgb="FF4A7EBB"/>
      <rgbColor rgb="FF33CCCC"/>
      <rgbColor rgb="FF99CC00"/>
      <rgbColor rgb="FFFFCC00"/>
      <rgbColor rgb="FFFF9900"/>
      <rgbColor rgb="FFB45309"/>
      <rgbColor rgb="FF6B7280"/>
      <rgbColor rgb="FF9CA3AF"/>
      <rgbColor rgb="FF003366"/>
      <rgbColor rgb="FF0891B2"/>
      <rgbColor rgb="FF111827"/>
      <rgbColor rgb="FF333300"/>
      <rgbColor rgb="FFB91C1C"/>
      <rgbColor rgb="FFC0504D"/>
      <rgbColor rgb="FF4B5563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Saldo per maand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Jaaroverzicht!E7</c:f>
              <c:strCache>
                <c:ptCount val="1"/>
                <c:pt idx="0">
                  <c:v>Saldo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Jaaroverzicht!$B$8:$B$19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maart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augustus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Jaaroverzicht!$E$8:$E$19</c:f>
              <c:numCache>
                <c:formatCode>"€ "#,##0.00;[RED]"-€ "#,##0.00</c:formatCode>
                <c:ptCount val="12"/>
                <c:pt idx="0">
                  <c:v>1660</c:v>
                </c:pt>
                <c:pt idx="1">
                  <c:v>1660</c:v>
                </c:pt>
                <c:pt idx="2">
                  <c:v>1660</c:v>
                </c:pt>
                <c:pt idx="3">
                  <c:v>1660</c:v>
                </c:pt>
                <c:pt idx="4">
                  <c:v>1660</c:v>
                </c:pt>
                <c:pt idx="5">
                  <c:v>1660</c:v>
                </c:pt>
                <c:pt idx="6">
                  <c:v>1660</c:v>
                </c:pt>
                <c:pt idx="7">
                  <c:v>1597.7</c:v>
                </c:pt>
                <c:pt idx="8">
                  <c:v>1660</c:v>
                </c:pt>
                <c:pt idx="9">
                  <c:v>1660</c:v>
                </c:pt>
                <c:pt idx="10">
                  <c:v>1660</c:v>
                </c:pt>
                <c:pt idx="11">
                  <c:v>1660</c:v>
                </c:pt>
              </c:numCache>
            </c:numRef>
          </c:val>
        </c:ser>
        <c:gapWidth val="50"/>
        <c:overlap val="0"/>
        <c:axId val="67231488"/>
        <c:axId val="44094516"/>
      </c:barChart>
      <c:catAx>
        <c:axId val="6723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094516"/>
        <c:crosses val="autoZero"/>
        <c:auto val="1"/>
        <c:lblAlgn val="ctr"/>
        <c:lblOffset val="100"/>
        <c:noMultiLvlLbl val="0"/>
      </c:catAx>
      <c:valAx>
        <c:axId val="440945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€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2314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Begroot vs. werkelijk per categorie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Categorieën!D25</c:f>
              <c:strCache>
                <c:ptCount val="1"/>
                <c:pt idx="0">
                  <c:v>Begroot totaal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Categorieën!$B$26:$B$55</c:f>
              <c:strCache>
                <c:ptCount val="30"/>
                <c:pt idx="0">
                  <c:v>Wonen</c:v>
                </c:pt>
                <c:pt idx="1">
                  <c:v>Nutsvoorzieningen</c:v>
                </c:pt>
                <c:pt idx="2">
                  <c:v>Telefoon &amp; internet</c:v>
                </c:pt>
                <c:pt idx="3">
                  <c:v>Technologie &amp; software</c:v>
                </c:pt>
                <c:pt idx="4">
                  <c:v>Verzekeringen</c:v>
                </c:pt>
                <c:pt idx="5">
                  <c:v>Auto &amp; vervoer</c:v>
                </c:pt>
                <c:pt idx="6">
                  <c:v>Belastingen</c:v>
                </c:pt>
                <c:pt idx="7">
                  <c:v>Boodschappen &amp; eten</c:v>
                </c:pt>
                <c:pt idx="8">
                  <c:v>Uit eten &amp; horeca</c:v>
                </c:pt>
                <c:pt idx="9">
                  <c:v>Gezondheid &amp; zorg</c:v>
                </c:pt>
                <c:pt idx="10">
                  <c:v>Persoonlijke verzorging</c:v>
                </c:pt>
                <c:pt idx="11">
                  <c:v>Kleding</c:v>
                </c:pt>
                <c:pt idx="12">
                  <c:v>Huishouden</c:v>
                </c:pt>
                <c:pt idx="13">
                  <c:v>Abonnementen &amp; media</c:v>
                </c:pt>
                <c:pt idx="14">
                  <c:v>Sport &amp; fitness</c:v>
                </c:pt>
                <c:pt idx="15">
                  <c:v>Vrije tijd &amp; uitjes</c:v>
                </c:pt>
                <c:pt idx="16">
                  <c:v>Vakantie &amp; reizen</c:v>
                </c:pt>
                <c:pt idx="17">
                  <c:v>Studie &amp; ontwikkeling</c:v>
                </c:pt>
                <c:pt idx="18">
                  <c:v>Kinderen &amp; alimentatie</c:v>
                </c:pt>
                <c:pt idx="19">
                  <c:v>Giften &amp; goede doelen</c:v>
                </c:pt>
                <c:pt idx="20">
                  <c:v>Huisdieren</c:v>
                </c:pt>
                <c:pt idx="21">
                  <c:v>Schulden &amp; aflossingen</c:v>
                </c:pt>
                <c:pt idx="22">
                  <c:v>Sparen &amp; reserveringen</c:v>
                </c:pt>
                <c:pt idx="23">
                  <c:v>Zakelijk</c:v>
                </c:pt>
                <c:pt idx="24">
                  <c:v>Onvoorzien</c:v>
                </c:pt>
                <c:pt idx="25">
                  <c:v>Overig</c:v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Categorieën!$D$26:$D$55</c:f>
              <c:numCache>
                <c:formatCode>"€ "#,##0.00;[RED]"-€ "#,##0.00</c:formatCode>
                <c:ptCount val="30"/>
                <c:pt idx="0">
                  <c:v>900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200</c:v>
                </c:pt>
                <c:pt idx="6">
                  <c:v>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190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Categorieën!E25</c:f>
              <c:strCache>
                <c:ptCount val="1"/>
                <c:pt idx="0">
                  <c:v>Werkelijk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Categorieën!$B$26:$B$55</c:f>
              <c:strCache>
                <c:ptCount val="30"/>
                <c:pt idx="0">
                  <c:v>Wonen</c:v>
                </c:pt>
                <c:pt idx="1">
                  <c:v>Nutsvoorzieningen</c:v>
                </c:pt>
                <c:pt idx="2">
                  <c:v>Telefoon &amp; internet</c:v>
                </c:pt>
                <c:pt idx="3">
                  <c:v>Technologie &amp; software</c:v>
                </c:pt>
                <c:pt idx="4">
                  <c:v>Verzekeringen</c:v>
                </c:pt>
                <c:pt idx="5">
                  <c:v>Auto &amp; vervoer</c:v>
                </c:pt>
                <c:pt idx="6">
                  <c:v>Belastingen</c:v>
                </c:pt>
                <c:pt idx="7">
                  <c:v>Boodschappen &amp; eten</c:v>
                </c:pt>
                <c:pt idx="8">
                  <c:v>Uit eten &amp; horeca</c:v>
                </c:pt>
                <c:pt idx="9">
                  <c:v>Gezondheid &amp; zorg</c:v>
                </c:pt>
                <c:pt idx="10">
                  <c:v>Persoonlijke verzorging</c:v>
                </c:pt>
                <c:pt idx="11">
                  <c:v>Kleding</c:v>
                </c:pt>
                <c:pt idx="12">
                  <c:v>Huishouden</c:v>
                </c:pt>
                <c:pt idx="13">
                  <c:v>Abonnementen &amp; media</c:v>
                </c:pt>
                <c:pt idx="14">
                  <c:v>Sport &amp; fitness</c:v>
                </c:pt>
                <c:pt idx="15">
                  <c:v>Vrije tijd &amp; uitjes</c:v>
                </c:pt>
                <c:pt idx="16">
                  <c:v>Vakantie &amp; reizen</c:v>
                </c:pt>
                <c:pt idx="17">
                  <c:v>Studie &amp; ontwikkeling</c:v>
                </c:pt>
                <c:pt idx="18">
                  <c:v>Kinderen &amp; alimentatie</c:v>
                </c:pt>
                <c:pt idx="19">
                  <c:v>Giften &amp; goede doelen</c:v>
                </c:pt>
                <c:pt idx="20">
                  <c:v>Huisdieren</c:v>
                </c:pt>
                <c:pt idx="21">
                  <c:v>Schulden &amp; aflossingen</c:v>
                </c:pt>
                <c:pt idx="22">
                  <c:v>Sparen &amp; reserveringen</c:v>
                </c:pt>
                <c:pt idx="23">
                  <c:v>Zakelijk</c:v>
                </c:pt>
                <c:pt idx="24">
                  <c:v>Onvoorzien</c:v>
                </c:pt>
                <c:pt idx="25">
                  <c:v>Overig</c:v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Categorieën!$E$26:$E$55</c:f>
              <c:numCache>
                <c:formatCode>"€ "#,##0.00;[RED]"-€ "#,##0.00</c:formatCode>
                <c:ptCount val="30"/>
                <c:pt idx="0">
                  <c:v>900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50</c:v>
                </c:pt>
                <c:pt idx="6">
                  <c:v>0</c:v>
                </c:pt>
                <c:pt idx="7">
                  <c:v>62.3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190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60"/>
        <c:overlap val="0"/>
        <c:axId val="49456186"/>
        <c:axId val="70177838"/>
      </c:barChart>
      <c:catAx>
        <c:axId val="494561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177838"/>
        <c:crosses val="autoZero"/>
        <c:auto val="1"/>
        <c:lblAlgn val="ctr"/>
        <c:lblOffset val="100"/>
        <c:noMultiLvlLbl val="0"/>
      </c:catAx>
      <c:valAx>
        <c:axId val="701778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€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4561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Inkomsten vs. uitgaven per maand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Jaaroverzicht!C7</c:f>
              <c:strCache>
                <c:ptCount val="1"/>
                <c:pt idx="0">
                  <c:v>Inkomsten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Jaaroverzicht!$B$8:$B$19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maart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augustus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Jaaroverzicht!$C$8:$C$19</c:f>
              <c:numCache>
                <c:formatCode>"€ "#,##0.00;[RED]"-€ "#,##0.00</c:formatCode>
                <c:ptCount val="12"/>
                <c:pt idx="0">
                  <c:v>2800</c:v>
                </c:pt>
                <c:pt idx="1">
                  <c:v>2800</c:v>
                </c:pt>
                <c:pt idx="2">
                  <c:v>2800</c:v>
                </c:pt>
                <c:pt idx="3">
                  <c:v>2800</c:v>
                </c:pt>
                <c:pt idx="4">
                  <c:v>2800</c:v>
                </c:pt>
                <c:pt idx="5">
                  <c:v>2800</c:v>
                </c:pt>
                <c:pt idx="6">
                  <c:v>2800</c:v>
                </c:pt>
                <c:pt idx="7">
                  <c:v>2800</c:v>
                </c:pt>
                <c:pt idx="8">
                  <c:v>2800</c:v>
                </c:pt>
                <c:pt idx="9">
                  <c:v>2800</c:v>
                </c:pt>
                <c:pt idx="10">
                  <c:v>2800</c:v>
                </c:pt>
                <c:pt idx="11">
                  <c:v>2800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Jaaroverzicht!D7</c:f>
              <c:strCache>
                <c:ptCount val="1"/>
                <c:pt idx="0">
                  <c:v>Uitgaven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Jaaroverzicht!$B$8:$B$19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maart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augustus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Jaaroverzicht!$D$8:$D$19</c:f>
              <c:numCache>
                <c:formatCode>"€ "#,##0.00;[RED]"-€ "#,##0.00</c:formatCode>
                <c:ptCount val="12"/>
                <c:pt idx="0">
                  <c:v>1140</c:v>
                </c:pt>
                <c:pt idx="1">
                  <c:v>1140</c:v>
                </c:pt>
                <c:pt idx="2">
                  <c:v>1140</c:v>
                </c:pt>
                <c:pt idx="3">
                  <c:v>1140</c:v>
                </c:pt>
                <c:pt idx="4">
                  <c:v>1140</c:v>
                </c:pt>
                <c:pt idx="5">
                  <c:v>1140</c:v>
                </c:pt>
                <c:pt idx="6">
                  <c:v>1140</c:v>
                </c:pt>
                <c:pt idx="7">
                  <c:v>1202.3</c:v>
                </c:pt>
                <c:pt idx="8">
                  <c:v>1140</c:v>
                </c:pt>
                <c:pt idx="9">
                  <c:v>1140</c:v>
                </c:pt>
                <c:pt idx="10">
                  <c:v>1140</c:v>
                </c:pt>
                <c:pt idx="11">
                  <c:v>1140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9965202"/>
        <c:axId val="23929"/>
      </c:lineChart>
      <c:catAx>
        <c:axId val="799652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929"/>
        <c:crosses val="autoZero"/>
        <c:auto val="1"/>
        <c:lblAlgn val="ctr"/>
        <c:lblOffset val="100"/>
        <c:noMultiLvlLbl val="0"/>
      </c:catAx>
      <c:valAx>
        <c:axId val="239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€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9652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Saldo per maand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Jaaroverzicht!E7</c:f>
              <c:strCache>
                <c:ptCount val="1"/>
                <c:pt idx="0">
                  <c:v>Saldo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Jaaroverzicht!$B$8:$B$19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maart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augustus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Jaaroverzicht!$E$8:$E$19</c:f>
              <c:numCache>
                <c:formatCode>"€ "#,##0.00;[RED]"-€ "#,##0.00</c:formatCode>
                <c:ptCount val="12"/>
                <c:pt idx="0">
                  <c:v>1660</c:v>
                </c:pt>
                <c:pt idx="1">
                  <c:v>1660</c:v>
                </c:pt>
                <c:pt idx="2">
                  <c:v>1660</c:v>
                </c:pt>
                <c:pt idx="3">
                  <c:v>1660</c:v>
                </c:pt>
                <c:pt idx="4">
                  <c:v>1660</c:v>
                </c:pt>
                <c:pt idx="5">
                  <c:v>1660</c:v>
                </c:pt>
                <c:pt idx="6">
                  <c:v>1660</c:v>
                </c:pt>
                <c:pt idx="7">
                  <c:v>1597.7</c:v>
                </c:pt>
                <c:pt idx="8">
                  <c:v>1660</c:v>
                </c:pt>
                <c:pt idx="9">
                  <c:v>1660</c:v>
                </c:pt>
                <c:pt idx="10">
                  <c:v>1660</c:v>
                </c:pt>
                <c:pt idx="11">
                  <c:v>1660</c:v>
                </c:pt>
              </c:numCache>
            </c:numRef>
          </c:val>
        </c:ser>
        <c:gapWidth val="50"/>
        <c:overlap val="0"/>
        <c:axId val="59973454"/>
        <c:axId val="46898635"/>
      </c:barChart>
      <c:catAx>
        <c:axId val="599734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898635"/>
        <c:crosses val="autoZero"/>
        <c:auto val="1"/>
        <c:lblAlgn val="ctr"/>
        <c:lblOffset val="100"/>
        <c:noMultiLvlLbl val="0"/>
      </c:catAx>
      <c:valAx>
        <c:axId val="468986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€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9734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70560</xdr:rowOff>
    </xdr:from>
    <xdr:to>
      <xdr:col>18</xdr:col>
      <xdr:colOff>364680</xdr:colOff>
      <xdr:row>26</xdr:row>
      <xdr:rowOff>71640</xdr:rowOff>
    </xdr:to>
    <xdr:graphicFrame>
      <xdr:nvGraphicFramePr>
        <xdr:cNvPr id="0" name="Chart 1"/>
        <xdr:cNvGraphicFramePr/>
      </xdr:nvGraphicFramePr>
      <xdr:xfrm>
        <a:off x="7894440" y="22003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11</xdr:row>
      <xdr:rowOff>100800</xdr:rowOff>
    </xdr:from>
    <xdr:to>
      <xdr:col>22</xdr:col>
      <xdr:colOff>581760</xdr:colOff>
      <xdr:row>35</xdr:row>
      <xdr:rowOff>132480</xdr:rowOff>
    </xdr:to>
    <xdr:graphicFrame>
      <xdr:nvGraphicFramePr>
        <xdr:cNvPr id="1" name="Chart 1"/>
        <xdr:cNvGraphicFramePr/>
      </xdr:nvGraphicFramePr>
      <xdr:xfrm>
        <a:off x="8012520" y="228600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5</xdr:row>
      <xdr:rowOff>100800</xdr:rowOff>
    </xdr:from>
    <xdr:to>
      <xdr:col>19</xdr:col>
      <xdr:colOff>473040</xdr:colOff>
      <xdr:row>22</xdr:row>
      <xdr:rowOff>102240</xdr:rowOff>
    </xdr:to>
    <xdr:graphicFrame>
      <xdr:nvGraphicFramePr>
        <xdr:cNvPr id="2" name="Chart 1"/>
        <xdr:cNvGraphicFramePr/>
      </xdr:nvGraphicFramePr>
      <xdr:xfrm>
        <a:off x="6250320" y="114300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24</xdr:row>
      <xdr:rowOff>100800</xdr:rowOff>
    </xdr:from>
    <xdr:to>
      <xdr:col>19</xdr:col>
      <xdr:colOff>473040</xdr:colOff>
      <xdr:row>41</xdr:row>
      <xdr:rowOff>101880</xdr:rowOff>
    </xdr:to>
    <xdr:graphicFrame>
      <xdr:nvGraphicFramePr>
        <xdr:cNvPr id="3" name="Chart 2"/>
        <xdr:cNvGraphicFramePr/>
      </xdr:nvGraphicFramePr>
      <xdr:xfrm>
        <a:off x="6250320" y="476244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1827"/>
    <pageSetUpPr fitToPage="false"/>
  </sheetPr>
  <dimension ref="B2:D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4" min="2" style="0" width="32"/>
    <col collapsed="false" customWidth="true" hidden="false" outlineLevel="0" max="5" min="5" style="0" width="4"/>
  </cols>
  <sheetData>
    <row r="2" customFormat="false" ht="29.1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  <c r="C3" s="2"/>
      <c r="D3" s="2"/>
    </row>
    <row r="5" customFormat="false" ht="15" hidden="false" customHeight="false" outlineLevel="0" collapsed="false">
      <c r="B5" s="3" t="s">
        <v>2</v>
      </c>
      <c r="C5" s="4" t="s">
        <v>3</v>
      </c>
      <c r="D5" s="5" t="s">
        <v>4</v>
      </c>
    </row>
    <row r="6" customFormat="false" ht="21.75" hidden="false" customHeight="true" outlineLevel="0" collapsed="false">
      <c r="B6" s="6" t="s">
        <v>5</v>
      </c>
      <c r="C6" s="7" t="s">
        <v>6</v>
      </c>
      <c r="D6" s="8" t="s">
        <v>7</v>
      </c>
    </row>
    <row r="7" customFormat="false" ht="15.75" hidden="false" customHeight="true" outlineLevel="0" collapsed="false">
      <c r="B7" s="9" t="s">
        <v>8</v>
      </c>
      <c r="C7" s="10" t="s">
        <v>9</v>
      </c>
      <c r="D7" s="11" t="s">
        <v>10</v>
      </c>
    </row>
    <row r="9" customFormat="false" ht="21.75" hidden="false" customHeight="true" outlineLevel="0" collapsed="false">
      <c r="B9" s="12" t="s">
        <v>11</v>
      </c>
      <c r="C9" s="13" t="s">
        <v>12</v>
      </c>
      <c r="D9" s="14" t="s">
        <v>13</v>
      </c>
    </row>
    <row r="10" customFormat="false" ht="15.75" hidden="false" customHeight="true" outlineLevel="0" collapsed="false">
      <c r="B10" s="15" t="s">
        <v>14</v>
      </c>
      <c r="C10" s="16" t="s">
        <v>15</v>
      </c>
      <c r="D10" s="17" t="s">
        <v>16</v>
      </c>
    </row>
    <row r="11" customFormat="false" ht="15" hidden="false" customHeight="false" outlineLevel="0" collapsed="false">
      <c r="B11" s="15" t="s">
        <v>17</v>
      </c>
    </row>
    <row r="12" customFormat="false" ht="21.75" hidden="false" customHeight="true" outlineLevel="0" collapsed="false">
      <c r="C12" s="18" t="s">
        <v>18</v>
      </c>
      <c r="D12" s="19" t="s">
        <v>19</v>
      </c>
    </row>
    <row r="13" customFormat="false" ht="15.75" hidden="false" customHeight="true" outlineLevel="0" collapsed="false">
      <c r="C13" s="20" t="s">
        <v>20</v>
      </c>
      <c r="D13" s="21" t="s">
        <v>21</v>
      </c>
    </row>
    <row r="15" customFormat="false" ht="21.75" hidden="false" customHeight="true" outlineLevel="0" collapsed="false">
      <c r="D15" s="22" t="s">
        <v>22</v>
      </c>
    </row>
    <row r="16" customFormat="false" ht="15.75" hidden="false" customHeight="true" outlineLevel="0" collapsed="false">
      <c r="D16" s="23" t="s">
        <v>23</v>
      </c>
    </row>
    <row r="18" customFormat="false" ht="15" hidden="false" customHeight="false" outlineLevel="0" collapsed="false">
      <c r="B18" s="24" t="s">
        <v>24</v>
      </c>
      <c r="C18" s="25"/>
      <c r="D18" s="25"/>
    </row>
    <row r="19" customFormat="false" ht="15" hidden="false" customHeight="false" outlineLevel="0" collapsed="false">
      <c r="B19" s="26" t="s">
        <v>25</v>
      </c>
      <c r="C19" s="26"/>
      <c r="D19" s="26"/>
    </row>
    <row r="20" customFormat="false" ht="15" hidden="false" customHeight="false" outlineLevel="0" collapsed="false">
      <c r="B20" s="26" t="s">
        <v>26</v>
      </c>
      <c r="C20" s="26"/>
      <c r="D20" s="26"/>
    </row>
    <row r="21" customFormat="false" ht="15" hidden="false" customHeight="false" outlineLevel="0" collapsed="false">
      <c r="B21" s="26" t="s">
        <v>27</v>
      </c>
      <c r="C21" s="26"/>
      <c r="D21" s="26"/>
    </row>
    <row r="22" customFormat="false" ht="15" hidden="false" customHeight="false" outlineLevel="0" collapsed="false">
      <c r="B22" s="26" t="s">
        <v>28</v>
      </c>
      <c r="C22" s="26"/>
      <c r="D22" s="26"/>
    </row>
    <row r="24" customFormat="false" ht="15" hidden="false" customHeight="false" outlineLevel="0" collapsed="false">
      <c r="B24" s="24" t="s">
        <v>29</v>
      </c>
      <c r="C24" s="25"/>
      <c r="D24" s="25"/>
    </row>
    <row r="25" customFormat="false" ht="15" hidden="false" customHeight="false" outlineLevel="0" collapsed="false">
      <c r="B25" s="27" t="s">
        <v>30</v>
      </c>
      <c r="C25" s="15" t="s">
        <v>31</v>
      </c>
    </row>
    <row r="26" customFormat="false" ht="15" hidden="false" customHeight="false" outlineLevel="0" collapsed="false">
      <c r="B26" s="28" t="s">
        <v>30</v>
      </c>
      <c r="C26" s="15" t="s">
        <v>32</v>
      </c>
    </row>
    <row r="27" customFormat="false" ht="15" hidden="false" customHeight="false" outlineLevel="0" collapsed="false">
      <c r="B27" s="29" t="s">
        <v>30</v>
      </c>
      <c r="C27" s="15" t="s">
        <v>33</v>
      </c>
    </row>
    <row r="29" customFormat="false" ht="15" hidden="false" customHeight="false" outlineLevel="0" collapsed="false">
      <c r="B29" s="30" t="s">
        <v>34</v>
      </c>
      <c r="C29" s="30"/>
      <c r="D29" s="30"/>
    </row>
  </sheetData>
  <mergeCells count="6">
    <mergeCell ref="B3:D3"/>
    <mergeCell ref="B19:D19"/>
    <mergeCell ref="B20:D20"/>
    <mergeCell ref="B21:D21"/>
    <mergeCell ref="B22:D22"/>
    <mergeCell ref="B29:D29"/>
  </mergeCells>
  <hyperlinks>
    <hyperlink ref="B6" location="'Transacties'!A1" display="TRANSACTIES"/>
    <hyperlink ref="C6" location="'Dashboard'!A1" display="DASHBOARD"/>
    <hyperlink ref="D6" location="'Vaste lasten'!A1" display="VASTE LASTEN"/>
    <hyperlink ref="B7" location="'Transacties'!A1" display="noteer een uitgave of inkomst"/>
    <hyperlink ref="C7" location="'Dashboard'!A1" display="je maand in één oogopslag"/>
    <hyperlink ref="D7" location="'Vaste lasten'!A1" display="alles wat maandelijks terugkeert"/>
    <hyperlink ref="C9" location="'Categorieën'!A1" display="CATEGORIEËN"/>
    <hyperlink ref="D9" location="'Vaste inkomsten'!A1" display="VASTE INKOMSTEN"/>
    <hyperlink ref="C10" location="'Categorieën'!A1" display="begroot tegenover werkelijk"/>
    <hyperlink ref="D10" location="'Vaste inkomsten'!A1" display="salaris en vaste inkomsten"/>
    <hyperlink ref="C12" location="'Jaaroverzicht'!A1" display="JAAROVERZICHT"/>
    <hyperlink ref="D12" location="'Schulden'!A1" display="SCHULDEN"/>
    <hyperlink ref="C13" location="'Jaaroverzicht'!A1" display="alle maanden naast elkaar"/>
    <hyperlink ref="D13" location="'Schulden'!A1" display="saldo, rente en aflossing"/>
    <hyperlink ref="D15" location="'Lijsten'!A1" display="LIJSTEN"/>
    <hyperlink ref="D16" location="'Lijsten'!A1" display="keuzelijsten — zelden nodi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ED8"/>
    <pageSetUpPr fitToPage="false"/>
  </sheetPr>
  <dimension ref="B1:N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21"/>
    <col collapsed="false" customWidth="true" hidden="false" outlineLevel="0" max="4" min="4" style="0" width="22"/>
    <col collapsed="false" customWidth="true" hidden="false" outlineLevel="0" max="6" min="5" style="0" width="16"/>
    <col collapsed="false" customWidth="true" hidden="false" outlineLevel="0" max="7" min="7" style="0" width="3"/>
    <col collapsed="false" customWidth="true" hidden="true" outlineLevel="0" max="14" min="14" style="0" width="13"/>
  </cols>
  <sheetData>
    <row r="1" customFormat="false" ht="15" hidden="false" customHeight="false" outlineLevel="0" collapsed="false">
      <c r="N1" s="0" t="s">
        <v>35</v>
      </c>
    </row>
    <row r="2" customFormat="false" ht="24.45" hidden="false" customHeight="false" outlineLevel="0" collapsed="false">
      <c r="B2" s="31" t="s">
        <v>6</v>
      </c>
      <c r="E2" s="32" t="s">
        <v>36</v>
      </c>
      <c r="N2" s="33" t="n">
        <f aca="false">IFERROR(MATCH($C$5,Lijsten!$K$6:$K$17,0),1)</f>
        <v>8</v>
      </c>
    </row>
    <row r="3" customFormat="false" ht="15" hidden="false" customHeight="false" outlineLevel="0" collapsed="false">
      <c r="B3" s="15" t="s">
        <v>37</v>
      </c>
      <c r="N3" s="33" t="s">
        <v>38</v>
      </c>
    </row>
    <row r="4" customFormat="false" ht="15" hidden="false" customHeight="false" outlineLevel="0" collapsed="false">
      <c r="B4" s="34" t="s">
        <v>39</v>
      </c>
      <c r="C4" s="35" t="s">
        <v>40</v>
      </c>
      <c r="D4" s="12" t="s">
        <v>41</v>
      </c>
      <c r="N4" s="33" t="n">
        <f aca="false">$E$5*100+$N$2</f>
        <v>202608</v>
      </c>
    </row>
    <row r="5" customFormat="false" ht="15" hidden="false" customHeight="false" outlineLevel="0" collapsed="false">
      <c r="B5" s="34" t="s">
        <v>42</v>
      </c>
      <c r="C5" s="36" t="s">
        <v>43</v>
      </c>
      <c r="D5" s="34" t="s">
        <v>44</v>
      </c>
      <c r="E5" s="37" t="n">
        <v>2026</v>
      </c>
    </row>
    <row r="7" customFormat="false" ht="19.5" hidden="false" customHeight="true" outlineLevel="0" collapsed="false">
      <c r="B7" s="38" t="s">
        <v>45</v>
      </c>
      <c r="C7" s="39" t="s">
        <v>46</v>
      </c>
      <c r="D7" s="39"/>
      <c r="E7" s="40" t="s">
        <v>47</v>
      </c>
      <c r="F7" s="40"/>
    </row>
    <row r="8" customFormat="false" ht="15" hidden="false" customHeight="false" outlineLevel="0" collapsed="false">
      <c r="B8" s="41"/>
      <c r="C8" s="42"/>
      <c r="D8" s="42"/>
      <c r="E8" s="43"/>
      <c r="F8" s="43"/>
    </row>
    <row r="9" customFormat="false" ht="33.75" hidden="false" customHeight="true" outlineLevel="0" collapsed="false">
      <c r="B9" s="44" t="n">
        <f aca="false">SUMIFS('Vaste inkomsten'!$J$8:$J$37,'Vaste inkomsten'!$H$8:$H$37,"Ja")+SUMIFS(Transacties!$D$8:$D$507,Transacties!$H$8:$H$507,$N$4,Transacties!$E$8:$E$507,"Inkomst")</f>
        <v>2800</v>
      </c>
      <c r="C9" s="45" t="n">
        <f aca="false">SUMIFS('Vaste lasten'!$J$8:$J$207,'Vaste lasten'!$H$8:$H$207,"Ja")+SUMIFS(Schulden!$E$8:$E$37,Schulden!$G$8:$G$37,"Ja")+SUMIFS(Transacties!$D$8:$D$507,Transacties!$H$8:$H$507,$N$4)-SUMIFS(Transacties!$D$8:$D$507,Transacties!$H$8:$H$507,$N$4,Transacties!$E$8:$E$507,"Inkomst")</f>
        <v>1202.3</v>
      </c>
      <c r="D9" s="45"/>
      <c r="E9" s="46" t="n">
        <f aca="false">$B$9-$C$9</f>
        <v>1597.7</v>
      </c>
      <c r="F9" s="46"/>
    </row>
    <row r="11" customFormat="false" ht="15" hidden="false" customHeight="false" outlineLevel="0" collapsed="false">
      <c r="B11" s="47" t="s">
        <v>48</v>
      </c>
      <c r="C11" s="25"/>
      <c r="D11" s="25"/>
      <c r="E11" s="25"/>
      <c r="F11" s="25"/>
    </row>
    <row r="12" customFormat="false" ht="15" hidden="false" customHeight="false" outlineLevel="0" collapsed="false">
      <c r="B12" s="48" t="s">
        <v>49</v>
      </c>
      <c r="C12" s="49" t="n">
        <f aca="false">IFERROR($E$9/$B$9,"")</f>
        <v>0.570607142857143</v>
      </c>
      <c r="D12" s="50" t="s">
        <v>50</v>
      </c>
      <c r="E12" s="51"/>
      <c r="F12" s="51"/>
    </row>
    <row r="13" customFormat="false" ht="15" hidden="false" customHeight="false" outlineLevel="0" collapsed="false">
      <c r="B13" s="52" t="s">
        <v>51</v>
      </c>
      <c r="C13" s="53" t="n">
        <f aca="false">SUMIFS('Vaste lasten'!$J$8:$J$207,'Vaste lasten'!$H$8:$H$207,"Ja")</f>
        <v>950</v>
      </c>
      <c r="D13" s="54" t="s">
        <v>52</v>
      </c>
      <c r="E13" s="55"/>
      <c r="F13" s="55"/>
    </row>
    <row r="14" customFormat="false" ht="15" hidden="false" customHeight="false" outlineLevel="0" collapsed="false">
      <c r="B14" s="48" t="s">
        <v>53</v>
      </c>
      <c r="C14" s="56" t="n">
        <f aca="false">SUMIFS(Schulden!$E$8:$E$37,Schulden!$G$8:$G$37,"Ja")</f>
        <v>190</v>
      </c>
      <c r="D14" s="50" t="s">
        <v>54</v>
      </c>
      <c r="E14" s="51"/>
      <c r="F14" s="51"/>
    </row>
    <row r="15" customFormat="false" ht="15" hidden="false" customHeight="false" outlineLevel="0" collapsed="false">
      <c r="B15" s="52" t="s">
        <v>55</v>
      </c>
      <c r="C15" s="53" t="n">
        <f aca="false">SUMIFS(Transacties!$D$8:$D$507,Transacties!$H$8:$H$507,$N$4)-SUMIFS(Transacties!$D$8:$D$507,Transacties!$H$8:$H$507,$N$4,Transacties!$E$8:$E$507,"Inkomst")</f>
        <v>62.3</v>
      </c>
      <c r="D15" s="54" t="s">
        <v>56</v>
      </c>
      <c r="E15" s="55"/>
      <c r="F15" s="55"/>
    </row>
    <row r="16" customFormat="false" ht="15" hidden="false" customHeight="false" outlineLevel="0" collapsed="false">
      <c r="B16" s="48" t="s">
        <v>57</v>
      </c>
      <c r="C16" s="49" t="n">
        <f aca="false">IFERROR((SUMIFS('Vaste lasten'!$J$8:$J$207,'Vaste lasten'!$H$8:$H$207,"Ja")+SUMIFS(Schulden!$E$8:$E$37,Schulden!$G$8:$G$37,"Ja"))/$B$9,"")</f>
        <v>0.407142857142857</v>
      </c>
      <c r="D16" s="50" t="s">
        <v>58</v>
      </c>
      <c r="E16" s="51"/>
      <c r="F16" s="51"/>
    </row>
    <row r="17" customFormat="false" ht="15" hidden="false" customHeight="false" outlineLevel="0" collapsed="false">
      <c r="B17" s="52" t="s">
        <v>59</v>
      </c>
      <c r="C17" s="53" t="n">
        <f aca="false">SUMIFS('Vaste lasten'!$J$8:$J$207,'Vaste lasten'!$G$8:$G$207,"Sparen &amp; reserveringen",'Vaste lasten'!$H$8:$H$207,"Ja")+SUMIFS(Transacties!$D$8:$D$507,Transacties!$H$8:$H$507,$N$4,Transacties!$B$8:$B$507,"Sparen &amp; reserveringen")</f>
        <v>0</v>
      </c>
      <c r="D17" s="54" t="s">
        <v>60</v>
      </c>
      <c r="E17" s="55"/>
      <c r="F17" s="55"/>
    </row>
    <row r="18" customFormat="false" ht="15" hidden="false" customHeight="false" outlineLevel="0" collapsed="false">
      <c r="B18" s="48" t="s">
        <v>61</v>
      </c>
      <c r="C18" s="57" t="str">
        <f aca="false">COUNTIF('Vaste lasten'!$H$8:$H$207,"Ja")&amp;" regels"</f>
        <v>2 regels</v>
      </c>
      <c r="D18" s="50" t="s">
        <v>62</v>
      </c>
      <c r="E18" s="51"/>
      <c r="F18" s="51"/>
    </row>
    <row r="20" customFormat="false" ht="15" hidden="false" customHeight="false" outlineLevel="0" collapsed="false">
      <c r="B20" s="58" t="s">
        <v>63</v>
      </c>
      <c r="C20" s="59"/>
      <c r="D20" s="59"/>
      <c r="E20" s="59"/>
      <c r="F20" s="59"/>
    </row>
    <row r="21" customFormat="false" ht="15" hidden="false" customHeight="false" outlineLevel="0" collapsed="false">
      <c r="B21" s="52" t="str">
        <f aca="false">IFERROR(IF(LARGE(Categorieën!$I$26:$I$55,1)&lt;=0,"",INDEX(Categorieën!$B$26:$B$55,MATCH(LARGE(Categorieën!$I$26:$I$55,1),Categorieën!$I$26:$I$55,0))),"")</f>
        <v>Wonen</v>
      </c>
      <c r="C21" s="60" t="n">
        <f aca="false">IFERROR(IF(LARGE(Categorieën!$I$26:$I$55,1)&lt;=0,"",INDEX(Categorieën!$E$26:$E$55,MATCH(LARGE(Categorieën!$I$26:$I$55,1),Categorieën!$I$26:$I$55,0))),"")</f>
        <v>900</v>
      </c>
      <c r="D21" s="61" t="n">
        <f aca="false">IF($C21="","",IFERROR($C21/$C$9,""))</f>
        <v>0.74856524993762</v>
      </c>
      <c r="E21" s="55"/>
      <c r="F21" s="55"/>
    </row>
    <row r="22" customFormat="false" ht="15" hidden="false" customHeight="false" outlineLevel="0" collapsed="false">
      <c r="B22" s="48" t="str">
        <f aca="false">IFERROR(IF(LARGE(Categorieën!$I$26:$I$55,2)&lt;=0,"",INDEX(Categorieën!$B$26:$B$55,MATCH(LARGE(Categorieën!$I$26:$I$55,2),Categorieën!$I$26:$I$55,0))),"")</f>
        <v>Schulden &amp; aflossingen</v>
      </c>
      <c r="C22" s="62" t="n">
        <f aca="false">IFERROR(IF(LARGE(Categorieën!$I$26:$I$55,2)&lt;=0,"",INDEX(Categorieën!$E$26:$E$55,MATCH(LARGE(Categorieën!$I$26:$I$55,2),Categorieën!$I$26:$I$55,0))),"")</f>
        <v>190</v>
      </c>
      <c r="D22" s="63" t="n">
        <f aca="false">IF($C22="","",IFERROR($C22/$C$9,""))</f>
        <v>0.158030441653497</v>
      </c>
      <c r="E22" s="51"/>
      <c r="F22" s="51"/>
    </row>
    <row r="23" customFormat="false" ht="15" hidden="false" customHeight="false" outlineLevel="0" collapsed="false">
      <c r="B23" s="52" t="str">
        <f aca="false">IFERROR(IF(LARGE(Categorieën!$I$26:$I$55,3)&lt;=0,"",INDEX(Categorieën!$B$26:$B$55,MATCH(LARGE(Categorieën!$I$26:$I$55,3),Categorieën!$I$26:$I$55,0))),"")</f>
        <v>Boodschappen &amp; eten</v>
      </c>
      <c r="C23" s="60" t="n">
        <f aca="false">IFERROR(IF(LARGE(Categorieën!$I$26:$I$55,3)&lt;=0,"",INDEX(Categorieën!$E$26:$E$55,MATCH(LARGE(Categorieën!$I$26:$I$55,3),Categorieën!$I$26:$I$55,0))),"")</f>
        <v>62.3</v>
      </c>
      <c r="D23" s="61" t="n">
        <f aca="false">IF($C23="","",IFERROR($C23/$C$9,""))</f>
        <v>0.0518173500790152</v>
      </c>
      <c r="E23" s="55"/>
      <c r="F23" s="55"/>
    </row>
    <row r="24" customFormat="false" ht="15" hidden="false" customHeight="false" outlineLevel="0" collapsed="false">
      <c r="B24" s="48" t="str">
        <f aca="false">IFERROR(IF(LARGE(Categorieën!$I$26:$I$55,4)&lt;=0,"",INDEX(Categorieën!$B$26:$B$55,MATCH(LARGE(Categorieën!$I$26:$I$55,4),Categorieën!$I$26:$I$55,0))),"")</f>
        <v>Auto &amp; vervoer</v>
      </c>
      <c r="C24" s="62" t="n">
        <f aca="false">IFERROR(IF(LARGE(Categorieën!$I$26:$I$55,4)&lt;=0,"",INDEX(Categorieën!$E$26:$E$55,MATCH(LARGE(Categorieën!$I$26:$I$55,4),Categorieën!$I$26:$I$55,0))),"")</f>
        <v>50</v>
      </c>
      <c r="D24" s="63" t="n">
        <f aca="false">IF($C24="","",IFERROR($C24/$C$9,""))</f>
        <v>0.0415869583298678</v>
      </c>
      <c r="E24" s="51"/>
      <c r="F24" s="51"/>
    </row>
    <row r="25" customFormat="false" ht="15" hidden="false" customHeight="false" outlineLevel="0" collapsed="false">
      <c r="B25" s="52" t="str">
        <f aca="false">IFERROR(IF(LARGE(Categorieën!$I$26:$I$55,5)&lt;=0,"",INDEX(Categorieën!$B$26:$B$55,MATCH(LARGE(Categorieën!$I$26:$I$55,5),Categorieën!$I$26:$I$55,0))),"")</f>
        <v>Overig</v>
      </c>
      <c r="C25" s="60" t="n">
        <f aca="false">IFERROR(IF(LARGE(Categorieën!$I$26:$I$55,5)&lt;=0,"",INDEX(Categorieën!$E$26:$E$55,MATCH(LARGE(Categorieën!$I$26:$I$55,5),Categorieën!$I$26:$I$55,0))),"")</f>
        <v>0</v>
      </c>
      <c r="D25" s="61" t="n">
        <f aca="false">IF($C25="","",IFERROR($C25/$C$9,""))</f>
        <v>0</v>
      </c>
      <c r="E25" s="55"/>
      <c r="F25" s="55"/>
    </row>
    <row r="26" customFormat="false" ht="15" hidden="false" customHeight="false" outlineLevel="0" collapsed="false">
      <c r="B26" s="12" t="s">
        <v>64</v>
      </c>
    </row>
    <row r="28" customFormat="false" ht="15" hidden="false" customHeight="false" outlineLevel="0" collapsed="false">
      <c r="B28" s="64" t="s">
        <v>19</v>
      </c>
      <c r="C28" s="65"/>
      <c r="D28" s="65"/>
      <c r="E28" s="65"/>
      <c r="F28" s="65"/>
    </row>
    <row r="29" customFormat="false" ht="15" hidden="false" customHeight="false" outlineLevel="0" collapsed="false">
      <c r="B29" s="66" t="s">
        <v>65</v>
      </c>
      <c r="C29" s="67" t="n">
        <f aca="false">Schulden!$C$5</f>
        <v>15000</v>
      </c>
      <c r="D29" s="68"/>
      <c r="E29" s="68"/>
      <c r="F29" s="68"/>
    </row>
    <row r="30" customFormat="false" ht="15" hidden="false" customHeight="false" outlineLevel="0" collapsed="false">
      <c r="B30" s="66" t="s">
        <v>66</v>
      </c>
      <c r="C30" s="67" t="n">
        <f aca="false">Schulden!$E$5</f>
        <v>190</v>
      </c>
      <c r="D30" s="68"/>
      <c r="E30" s="68"/>
      <c r="F30" s="68"/>
    </row>
    <row r="31" customFormat="false" ht="15" hidden="false" customHeight="false" outlineLevel="0" collapsed="false">
      <c r="B31" s="66" t="s">
        <v>67</v>
      </c>
      <c r="C31" s="69" t="n">
        <f aca="false">IF(Schulden!$H$5="","nog invullen",Schulden!$H$5)</f>
        <v>48907</v>
      </c>
      <c r="D31" s="68"/>
      <c r="E31" s="68"/>
      <c r="F31" s="68"/>
    </row>
    <row r="32" customFormat="false" ht="15" hidden="false" customHeight="false" outlineLevel="0" collapsed="false">
      <c r="B32" s="12" t="s">
        <v>68</v>
      </c>
    </row>
    <row r="34" customFormat="false" ht="15" hidden="false" customHeight="false" outlineLevel="0" collapsed="false">
      <c r="B34" s="70" t="s">
        <v>69</v>
      </c>
      <c r="C34" s="71"/>
      <c r="D34" s="71"/>
      <c r="E34" s="71"/>
      <c r="F34" s="71"/>
    </row>
    <row r="35" customFormat="false" ht="15" hidden="false" customHeight="false" outlineLevel="0" collapsed="false">
      <c r="B35" s="48" t="s">
        <v>70</v>
      </c>
      <c r="C35" s="72" t="n">
        <f aca="false">Jaaroverzicht!$F$19</f>
        <v>19857.7</v>
      </c>
      <c r="D35" s="51"/>
      <c r="E35" s="51"/>
      <c r="F35" s="51"/>
    </row>
    <row r="36" customFormat="false" ht="15" hidden="false" customHeight="false" outlineLevel="0" collapsed="false">
      <c r="B36" s="52" t="s">
        <v>71</v>
      </c>
      <c r="C36" s="73" t="str">
        <f aca="false">IFERROR(INDEX(Jaaroverzicht!$B$8:$B$19,MATCH(MAX(Jaaroverzicht!$D$8:$D$19),Jaaroverzicht!$D$8:$D$19,0)),"")</f>
        <v>augustus</v>
      </c>
      <c r="D36" s="55"/>
      <c r="E36" s="55"/>
      <c r="F36" s="55"/>
    </row>
    <row r="37" customFormat="false" ht="15" hidden="false" customHeight="false" outlineLevel="0" collapsed="false">
      <c r="B37" s="48" t="s">
        <v>72</v>
      </c>
      <c r="C37" s="72" t="n">
        <f aca="false">IFERROR(MAX(Jaaroverzicht!$D$8:$D$19),"")</f>
        <v>1202.3</v>
      </c>
      <c r="D37" s="51"/>
      <c r="E37" s="51"/>
      <c r="F37" s="51"/>
    </row>
    <row r="39" customFormat="false" ht="15" hidden="false" customHeight="false" outlineLevel="0" collapsed="false">
      <c r="B39" s="74" t="s">
        <v>73</v>
      </c>
      <c r="C39" s="75"/>
      <c r="D39" s="75"/>
      <c r="E39" s="75"/>
      <c r="F39" s="75"/>
    </row>
    <row r="40" customFormat="false" ht="15" hidden="false" customHeight="false" outlineLevel="0" collapsed="false">
      <c r="B40" s="26" t="str">
        <f aca="false">IF($B$9=0,"Vul eerst je vaste inkomsten in.",IF($C$16&gt;0.6,"Meer dan 60% van je inkomen gaat naar vaste lasten en schulden. Dat is veel — je grootste posten staan hierboven.",IF($C$16&gt;0.4,"Je vaste lasten en schulden zitten tussen 40% en 60% van je inkomen. Dat is gangbaar.","Je vaste lasten en schulden blijven onder 40% van je inkomen. Comfortabel.")))</f>
        <v>Je vaste lasten en schulden zitten tussen 40% en 60% van je inkomen. Dat is gangbaar.</v>
      </c>
      <c r="C40" s="26"/>
      <c r="D40" s="26"/>
      <c r="E40" s="26"/>
      <c r="F40" s="26"/>
    </row>
    <row r="41" customFormat="false" ht="15" hidden="false" customHeight="false" outlineLevel="0" collapsed="false">
      <c r="B41" s="26" t="str">
        <f aca="false">IF($B$9=0,"",IF($C$17/$B$9&lt;0.1,"Je zet minder dan 10% van je inkomen opzij. Een vaste overboeking direct na je salaris werkt beter dan sparen wat overblijft.","Je spaardoel van 10% haal je deze maand."))</f>
        <v>Je zet minder dan 10% van je inkomen opzij. Een vaste overboeking direct na je salaris werkt beter dan sparen wat overblijft.</v>
      </c>
      <c r="C41" s="26"/>
      <c r="D41" s="26"/>
      <c r="E41" s="26"/>
      <c r="F41" s="26"/>
    </row>
    <row r="42" customFormat="false" ht="15" hidden="false" customHeight="false" outlineLevel="0" collapsed="false">
      <c r="B42" s="26" t="str">
        <f aca="false">IF($E$9&lt;0,"Je geeft deze maand meer uit dan er binnenkomt. Kijk bij de grootste uitgaven hierboven.","")</f>
        <v/>
      </c>
      <c r="C42" s="26"/>
      <c r="D42" s="26"/>
      <c r="E42" s="26"/>
      <c r="F42" s="26"/>
    </row>
    <row r="43" customFormat="false" ht="15" hidden="false" customHeight="false" outlineLevel="0" collapsed="false">
      <c r="B43" s="26" t="str">
        <f aca="false">IF(Schulden!$C$5=0,"Vul je openstaande schuldsaldo in op tabblad Schulden — dan zie je wanneer je schuldenvrij bent.","Extra aflossen? Begin bij prioriteit 1 op tabblad Schulden; dat is de hoogste rente.")</f>
        <v>Extra aflossen? Begin bij prioriteit 1 op tabblad Schulden; dat is de hoogste rente.</v>
      </c>
      <c r="C43" s="26"/>
      <c r="D43" s="26"/>
      <c r="E43" s="26"/>
      <c r="F43" s="26"/>
    </row>
    <row r="44" customFormat="false" ht="15" hidden="false" customHeight="false" outlineLevel="0" collapsed="false">
      <c r="B44" s="26" t="str">
        <f aca="false">IF(COUNTIF(Transacties!$A$8:$A$507,"&lt;&gt;")=0,"Nog geen transacties ingevuld. Zonder die regels blijft je variabele budget een schatting.","")</f>
        <v/>
      </c>
      <c r="C44" s="26"/>
      <c r="D44" s="26"/>
      <c r="E44" s="26"/>
      <c r="F44" s="26"/>
    </row>
    <row r="46" customFormat="false" ht="15" hidden="false" customHeight="false" outlineLevel="0" collapsed="false">
      <c r="B46" s="47" t="s">
        <v>74</v>
      </c>
      <c r="C46" s="25"/>
      <c r="D46" s="25"/>
      <c r="E46" s="25"/>
      <c r="F46" s="25"/>
    </row>
    <row r="47" customFormat="false" ht="15" hidden="false" customHeight="false" outlineLevel="0" collapsed="false">
      <c r="B47" s="26" t="s">
        <v>75</v>
      </c>
      <c r="C47" s="26"/>
      <c r="D47" s="26"/>
      <c r="E47" s="26"/>
      <c r="F47" s="26"/>
    </row>
    <row r="48" customFormat="false" ht="15" hidden="false" customHeight="false" outlineLevel="0" collapsed="false">
      <c r="B48" s="26" t="s">
        <v>76</v>
      </c>
      <c r="C48" s="26"/>
      <c r="D48" s="26"/>
      <c r="E48" s="26"/>
      <c r="F48" s="26"/>
    </row>
    <row r="49" customFormat="false" ht="15" hidden="false" customHeight="false" outlineLevel="0" collapsed="false">
      <c r="B49" s="26" t="s">
        <v>77</v>
      </c>
      <c r="C49" s="26"/>
      <c r="D49" s="26"/>
      <c r="E49" s="26"/>
      <c r="F49" s="26"/>
    </row>
    <row r="50" customFormat="false" ht="15" hidden="false" customHeight="false" outlineLevel="0" collapsed="false">
      <c r="B50" s="26" t="s">
        <v>78</v>
      </c>
      <c r="C50" s="26"/>
      <c r="D50" s="26"/>
      <c r="E50" s="26"/>
      <c r="F50" s="26"/>
    </row>
    <row r="51" customFormat="false" ht="15" hidden="false" customHeight="false" outlineLevel="0" collapsed="false">
      <c r="B51" s="26" t="s">
        <v>79</v>
      </c>
      <c r="C51" s="26"/>
      <c r="D51" s="26"/>
      <c r="E51" s="26"/>
      <c r="F51" s="26"/>
    </row>
    <row r="52" customFormat="false" ht="15" hidden="false" customHeight="false" outlineLevel="0" collapsed="false">
      <c r="B52" s="26" t="s">
        <v>80</v>
      </c>
      <c r="C52" s="26"/>
      <c r="D52" s="26"/>
      <c r="E52" s="26"/>
      <c r="F52" s="26"/>
    </row>
    <row r="53" customFormat="false" ht="15" hidden="false" customHeight="false" outlineLevel="0" collapsed="false">
      <c r="B53" s="26" t="s">
        <v>81</v>
      </c>
      <c r="C53" s="26"/>
      <c r="D53" s="26"/>
      <c r="E53" s="26"/>
      <c r="F53" s="26"/>
    </row>
  </sheetData>
  <mergeCells count="16">
    <mergeCell ref="C7:D7"/>
    <mergeCell ref="E7:F7"/>
    <mergeCell ref="C9:D9"/>
    <mergeCell ref="E9:F9"/>
    <mergeCell ref="B40:F40"/>
    <mergeCell ref="B41:F41"/>
    <mergeCell ref="B42:F42"/>
    <mergeCell ref="B43:F43"/>
    <mergeCell ref="B44:F44"/>
    <mergeCell ref="B47:F47"/>
    <mergeCell ref="B48:F48"/>
    <mergeCell ref="B49:F49"/>
    <mergeCell ref="B50:F50"/>
    <mergeCell ref="B51:F51"/>
    <mergeCell ref="B52:F52"/>
    <mergeCell ref="B53:F53"/>
  </mergeCells>
  <dataValidations count="2">
    <dataValidation allowBlank="true" errorStyle="stop" operator="between" showDropDown="false" showErrorMessage="false" showInputMessage="false" sqref="C5" type="list">
      <formula1>Lijsten!$K$6:$K$17</formula1>
      <formula2>0</formula2>
    </dataValidation>
    <dataValidation allowBlank="true" errorStyle="stop" operator="between" showDropDown="false" showErrorMessage="false" showInputMessage="false" sqref="C4" type="list">
      <formula1>"Gemiddeld per maand,Werkelijke betaalmaand"</formula1>
      <formula2>0</formula2>
    </dataValidation>
  </dataValidations>
  <hyperlinks>
    <hyperlink ref="E2" location="'Start'!A1" display="⌂ 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66E"/>
    <pageSetUpPr fitToPage="false"/>
  </sheetPr>
  <dimension ref="B2:I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6" min="4" style="0" width="15"/>
    <col collapsed="false" customWidth="true" hidden="false" outlineLevel="0" max="7" min="7" style="0" width="11"/>
    <col collapsed="false" customWidth="true" hidden="false" outlineLevel="0" max="8" min="8" style="0" width="3"/>
    <col collapsed="false" customWidth="true" hidden="true" outlineLevel="0" max="9" min="9" style="0" width="13"/>
  </cols>
  <sheetData>
    <row r="2" customFormat="false" ht="22.05" hidden="false" customHeight="false" outlineLevel="0" collapsed="false">
      <c r="B2" s="76" t="s">
        <v>12</v>
      </c>
      <c r="E2" s="32" t="s">
        <v>36</v>
      </c>
      <c r="F2" s="77" t="s">
        <v>82</v>
      </c>
    </row>
    <row r="3" customFormat="false" ht="15" hidden="false" customHeight="false" outlineLevel="0" collapsed="false">
      <c r="B3" s="15" t="s">
        <v>83</v>
      </c>
    </row>
    <row r="4" customFormat="false" ht="15" hidden="false" customHeight="false" outlineLevel="0" collapsed="false">
      <c r="B4" s="78" t="str">
        <f aca="false">"Maand: "&amp;Dashboard!$C$5&amp;" "&amp;Dashboard!$E$5&amp;"   ·   Weergave: "&amp;Dashboard!$C$4</f>
        <v>Maand: augustus 2026   ·   Weergave: Gemiddeld per maand</v>
      </c>
    </row>
    <row r="12" customFormat="false" ht="15" hidden="false" customHeight="false" outlineLevel="0" collapsed="false">
      <c r="B12" s="12" t="s">
        <v>84</v>
      </c>
    </row>
    <row r="13" customFormat="false" ht="18" hidden="false" customHeight="true" outlineLevel="0" collapsed="false">
      <c r="B13" s="70" t="s">
        <v>45</v>
      </c>
      <c r="C13" s="71"/>
      <c r="D13" s="71"/>
      <c r="E13" s="71"/>
      <c r="F13" s="71"/>
      <c r="G13" s="71"/>
    </row>
    <row r="14" customFormat="false" ht="15" hidden="false" customHeight="false" outlineLevel="0" collapsed="false">
      <c r="B14" s="79" t="s">
        <v>85</v>
      </c>
      <c r="C14" s="79" t="s">
        <v>86</v>
      </c>
      <c r="D14" s="79" t="s">
        <v>87</v>
      </c>
      <c r="E14" s="79" t="s">
        <v>88</v>
      </c>
      <c r="F14" s="79" t="s">
        <v>89</v>
      </c>
      <c r="G14" s="79" t="s">
        <v>90</v>
      </c>
    </row>
    <row r="15" customFormat="false" ht="15" hidden="false" customHeight="false" outlineLevel="0" collapsed="false">
      <c r="B15" s="80" t="str">
        <f aca="false">IF(INDEX(Lijsten!$A$6:$A$12,1)="","",INDEX(Lijsten!$A$6:$A$12,1))</f>
        <v>Salaris</v>
      </c>
      <c r="C15" s="81"/>
      <c r="D15" s="82" t="n">
        <f aca="false">IF($B15="","",SUMIFS('Vaste inkomsten'!$J$8:$J$37,'Vaste inkomsten'!$G$8:$G$37,$B15,'Vaste inkomsten'!$H$8:$H$37,"Ja"))</f>
        <v>2800</v>
      </c>
      <c r="E15" s="82" t="n">
        <f aca="false">IF($B15="","",SUMIFS('Vaste inkomsten'!$J$8:$J$37,'Vaste inkomsten'!$G$8:$G$37,$B15,'Vaste inkomsten'!$H$8:$H$37,"Ja")+SUMIFS(Transacties!$D$8:$D$507,Transacties!$H$8:$H$507,Dashboard!$N$4,Transacties!$B$8:$B$507,$B15))</f>
        <v>2800</v>
      </c>
      <c r="F15" s="82" t="n">
        <f aca="false">IF($B15="","",$E15-$D15)</f>
        <v>0</v>
      </c>
      <c r="G15" s="83" t="n">
        <f aca="false">IF(OR($B15="",$D15=0),"",$E15/$D15)</f>
        <v>1</v>
      </c>
      <c r="I15" s="84" t="n">
        <f aca="false">IF($B15="",-1,$E15+ROW()/100000)</f>
        <v>2800.00015</v>
      </c>
    </row>
    <row r="16" customFormat="false" ht="15" hidden="false" customHeight="false" outlineLevel="0" collapsed="false">
      <c r="B16" s="85" t="str">
        <f aca="false">IF(INDEX(Lijsten!$A$6:$A$12,2)="","",INDEX(Lijsten!$A$6:$A$12,2))</f>
        <v>Vakantiegeld</v>
      </c>
      <c r="C16" s="86"/>
      <c r="D16" s="87" t="n">
        <f aca="false">IF($B16="","",SUMIFS('Vaste inkomsten'!$J$8:$J$37,'Vaste inkomsten'!$G$8:$G$37,$B16,'Vaste inkomsten'!$H$8:$H$37,"Ja"))</f>
        <v>0</v>
      </c>
      <c r="E16" s="87" t="n">
        <f aca="false">IF($B16="","",SUMIFS('Vaste inkomsten'!$J$8:$J$37,'Vaste inkomsten'!$G$8:$G$37,$B16,'Vaste inkomsten'!$H$8:$H$37,"Ja")+SUMIFS(Transacties!$D$8:$D$507,Transacties!$H$8:$H$507,Dashboard!$N$4,Transacties!$B$8:$B$507,$B16))</f>
        <v>0</v>
      </c>
      <c r="F16" s="87" t="n">
        <f aca="false">IF($B16="","",$E16-$D16)</f>
        <v>0</v>
      </c>
      <c r="G16" s="88" t="str">
        <f aca="false">IF(OR($B16="",$D16=0),"",$E16/$D16)</f>
        <v/>
      </c>
      <c r="I16" s="84" t="n">
        <f aca="false">IF($B16="",-1,$E16+ROW()/100000)</f>
        <v>0.00016</v>
      </c>
    </row>
    <row r="17" customFormat="false" ht="15" hidden="false" customHeight="false" outlineLevel="0" collapsed="false">
      <c r="B17" s="80" t="str">
        <f aca="false">IF(INDEX(Lijsten!$A$6:$A$12,3)="","",INDEX(Lijsten!$A$6:$A$12,3))</f>
        <v>Bonus / extra werk</v>
      </c>
      <c r="C17" s="81"/>
      <c r="D17" s="82" t="n">
        <f aca="false">IF($B17="","",SUMIFS('Vaste inkomsten'!$J$8:$J$37,'Vaste inkomsten'!$G$8:$G$37,$B17,'Vaste inkomsten'!$H$8:$H$37,"Ja"))</f>
        <v>0</v>
      </c>
      <c r="E17" s="82" t="n">
        <f aca="false">IF($B17="","",SUMIFS('Vaste inkomsten'!$J$8:$J$37,'Vaste inkomsten'!$G$8:$G$37,$B17,'Vaste inkomsten'!$H$8:$H$37,"Ja")+SUMIFS(Transacties!$D$8:$D$507,Transacties!$H$8:$H$507,Dashboard!$N$4,Transacties!$B$8:$B$507,$B17))</f>
        <v>0</v>
      </c>
      <c r="F17" s="82" t="n">
        <f aca="false">IF($B17="","",$E17-$D17)</f>
        <v>0</v>
      </c>
      <c r="G17" s="83" t="str">
        <f aca="false">IF(OR($B17="",$D17=0),"",$E17/$D17)</f>
        <v/>
      </c>
      <c r="I17" s="84" t="n">
        <f aca="false">IF($B17="",-1,$E17+ROW()/100000)</f>
        <v>0.00017</v>
      </c>
    </row>
    <row r="18" customFormat="false" ht="15" hidden="false" customHeight="false" outlineLevel="0" collapsed="false">
      <c r="B18" s="85" t="str">
        <f aca="false">IF(INDEX(Lijsten!$A$6:$A$12,4)="","",INDEX(Lijsten!$A$6:$A$12,4))</f>
        <v>Toeslagen</v>
      </c>
      <c r="C18" s="86"/>
      <c r="D18" s="87" t="n">
        <f aca="false">IF($B18="","",SUMIFS('Vaste inkomsten'!$J$8:$J$37,'Vaste inkomsten'!$G$8:$G$37,$B18,'Vaste inkomsten'!$H$8:$H$37,"Ja"))</f>
        <v>0</v>
      </c>
      <c r="E18" s="87" t="n">
        <f aca="false">IF($B18="","",SUMIFS('Vaste inkomsten'!$J$8:$J$37,'Vaste inkomsten'!$G$8:$G$37,$B18,'Vaste inkomsten'!$H$8:$H$37,"Ja")+SUMIFS(Transacties!$D$8:$D$507,Transacties!$H$8:$H$507,Dashboard!$N$4,Transacties!$B$8:$B$507,$B18))</f>
        <v>0</v>
      </c>
      <c r="F18" s="87" t="n">
        <f aca="false">IF($B18="","",$E18-$D18)</f>
        <v>0</v>
      </c>
      <c r="G18" s="88" t="str">
        <f aca="false">IF(OR($B18="",$D18=0),"",$E18/$D18)</f>
        <v/>
      </c>
      <c r="I18" s="84" t="n">
        <f aca="false">IF($B18="",-1,$E18+ROW()/100000)</f>
        <v>0.00018</v>
      </c>
    </row>
    <row r="19" customFormat="false" ht="15" hidden="false" customHeight="false" outlineLevel="0" collapsed="false">
      <c r="B19" s="80" t="str">
        <f aca="false">IF(INDEX(Lijsten!$A$6:$A$12,5)="","",INDEX(Lijsten!$A$6:$A$12,5))</f>
        <v>Overig inkomen</v>
      </c>
      <c r="C19" s="81"/>
      <c r="D19" s="82" t="n">
        <f aca="false">IF($B19="","",SUMIFS('Vaste inkomsten'!$J$8:$J$37,'Vaste inkomsten'!$G$8:$G$37,$B19,'Vaste inkomsten'!$H$8:$H$37,"Ja"))</f>
        <v>0</v>
      </c>
      <c r="E19" s="82" t="n">
        <f aca="false">IF($B19="","",SUMIFS('Vaste inkomsten'!$J$8:$J$37,'Vaste inkomsten'!$G$8:$G$37,$B19,'Vaste inkomsten'!$H$8:$H$37,"Ja")+SUMIFS(Transacties!$D$8:$D$507,Transacties!$H$8:$H$507,Dashboard!$N$4,Transacties!$B$8:$B$507,$B19))</f>
        <v>0</v>
      </c>
      <c r="F19" s="82" t="n">
        <f aca="false">IF($B19="","",$E19-$D19)</f>
        <v>0</v>
      </c>
      <c r="G19" s="83" t="str">
        <f aca="false">IF(OR($B19="",$D19=0),"",$E19/$D19)</f>
        <v/>
      </c>
      <c r="I19" s="84" t="n">
        <f aca="false">IF($B19="",-1,$E19+ROW()/100000)</f>
        <v>0.00019</v>
      </c>
    </row>
    <row r="20" customFormat="false" ht="15" hidden="false" customHeight="false" outlineLevel="0" collapsed="false">
      <c r="B20" s="85" t="str">
        <f aca="false">IF(INDEX(Lijsten!$A$6:$A$12,6)="","",INDEX(Lijsten!$A$6:$A$12,6))</f>
        <v/>
      </c>
      <c r="C20" s="86"/>
      <c r="D20" s="87" t="str">
        <f aca="false">IF($B20="","",SUMIFS('Vaste inkomsten'!$J$8:$J$37,'Vaste inkomsten'!$G$8:$G$37,$B20,'Vaste inkomsten'!$H$8:$H$37,"Ja"))</f>
        <v/>
      </c>
      <c r="E20" s="87" t="str">
        <f aca="false">IF($B20="","",SUMIFS('Vaste inkomsten'!$J$8:$J$37,'Vaste inkomsten'!$G$8:$G$37,$B20,'Vaste inkomsten'!$H$8:$H$37,"Ja")+SUMIFS(Transacties!$D$8:$D$507,Transacties!$H$8:$H$507,Dashboard!$N$4,Transacties!$B$8:$B$507,$B20))</f>
        <v/>
      </c>
      <c r="F20" s="87" t="str">
        <f aca="false">IF($B20="","",$E20-$D20)</f>
        <v/>
      </c>
      <c r="G20" s="88" t="str">
        <f aca="false">IF(OR($B20="",$D20=0),"",$E20/$D20)</f>
        <v/>
      </c>
      <c r="I20" s="84" t="n">
        <f aca="false">IF($B20="",-1,$E20+ROW()/100000)</f>
        <v>-1</v>
      </c>
    </row>
    <row r="21" customFormat="false" ht="15" hidden="false" customHeight="false" outlineLevel="0" collapsed="false">
      <c r="B21" s="80" t="str">
        <f aca="false">IF(INDEX(Lijsten!$A$6:$A$12,7)="","",INDEX(Lijsten!$A$6:$A$12,7))</f>
        <v/>
      </c>
      <c r="C21" s="81"/>
      <c r="D21" s="82" t="str">
        <f aca="false">IF($B21="","",SUMIFS('Vaste inkomsten'!$J$8:$J$37,'Vaste inkomsten'!$G$8:$G$37,$B21,'Vaste inkomsten'!$H$8:$H$37,"Ja"))</f>
        <v/>
      </c>
      <c r="E21" s="82" t="str">
        <f aca="false">IF($B21="","",SUMIFS('Vaste inkomsten'!$J$8:$J$37,'Vaste inkomsten'!$G$8:$G$37,$B21,'Vaste inkomsten'!$H$8:$H$37,"Ja")+SUMIFS(Transacties!$D$8:$D$507,Transacties!$H$8:$H$507,Dashboard!$N$4,Transacties!$B$8:$B$507,$B21))</f>
        <v/>
      </c>
      <c r="F21" s="82" t="str">
        <f aca="false">IF($B21="","",$E21-$D21)</f>
        <v/>
      </c>
      <c r="G21" s="83" t="str">
        <f aca="false">IF(OR($B21="",$D21=0),"",$E21/$D21)</f>
        <v/>
      </c>
      <c r="I21" s="84" t="n">
        <f aca="false">IF($B21="",-1,$E21+ROW()/100000)</f>
        <v>-1</v>
      </c>
    </row>
    <row r="22" customFormat="false" ht="15" hidden="false" customHeight="false" outlineLevel="0" collapsed="false">
      <c r="B22" s="89" t="s">
        <v>91</v>
      </c>
      <c r="C22" s="90" t="n">
        <f aca="false">SUM(C15:C21)</f>
        <v>0</v>
      </c>
      <c r="D22" s="90" t="n">
        <f aca="false">SUM(D15:D21)</f>
        <v>2800</v>
      </c>
      <c r="E22" s="90" t="n">
        <f aca="false">SUM(E15:E21)</f>
        <v>2800</v>
      </c>
      <c r="F22" s="90" t="n">
        <f aca="false">SUM(F15:F21)</f>
        <v>0</v>
      </c>
      <c r="G22" s="91"/>
    </row>
    <row r="23" customFormat="false" ht="15" hidden="false" customHeight="false" outlineLevel="0" collapsed="false">
      <c r="B23" s="12" t="s">
        <v>92</v>
      </c>
    </row>
    <row r="24" customFormat="false" ht="18" hidden="false" customHeight="true" outlineLevel="0" collapsed="false">
      <c r="B24" s="58" t="s">
        <v>46</v>
      </c>
      <c r="C24" s="59"/>
      <c r="D24" s="59"/>
      <c r="E24" s="59"/>
      <c r="F24" s="59"/>
      <c r="G24" s="59"/>
    </row>
    <row r="25" customFormat="false" ht="15" hidden="false" customHeight="false" outlineLevel="0" collapsed="false">
      <c r="B25" s="79" t="s">
        <v>85</v>
      </c>
      <c r="C25" s="79" t="s">
        <v>86</v>
      </c>
      <c r="D25" s="79" t="s">
        <v>87</v>
      </c>
      <c r="E25" s="79" t="s">
        <v>88</v>
      </c>
      <c r="F25" s="79" t="s">
        <v>89</v>
      </c>
      <c r="G25" s="79" t="s">
        <v>90</v>
      </c>
    </row>
    <row r="26" customFormat="false" ht="15" hidden="false" customHeight="false" outlineLevel="0" collapsed="false">
      <c r="B26" s="80" t="str">
        <f aca="false">IF(INDEX(Lijsten!$C$6:$C$35,1)="","",INDEX(Lijsten!$C$6:$C$35,1))</f>
        <v>Wonen</v>
      </c>
      <c r="C26" s="92" t="n">
        <v>0</v>
      </c>
      <c r="D26" s="82" t="n">
        <f aca="false">IF($B26="","",SUMIFS('Vaste lasten'!$J$8:$J$207,'Vaste lasten'!$G$8:$G$207,$B26,'Vaste lasten'!$H$8:$H$207,"Ja")+SUMIFS(Schulden!$E$8:$E$37,Schulden!$F$8:$F$37,$B26,Schulden!$G$8:$G$37,"Ja")+IF($C26="",0,$C26))</f>
        <v>900</v>
      </c>
      <c r="E26" s="82" t="n">
        <f aca="false">IF($B26="","",SUMIFS('Vaste lasten'!$J$8:$J$207,'Vaste lasten'!$G$8:$G$207,$B26,'Vaste lasten'!$H$8:$H$207,"Ja")+SUMIFS(Schulden!$E$8:$E$37,Schulden!$F$8:$F$37,$B26,Schulden!$G$8:$G$37,"Ja")+SUMIFS(Transacties!$D$8:$D$507,Transacties!$H$8:$H$507,Dashboard!$N$4,Transacties!$B$8:$B$507,$B26))</f>
        <v>900</v>
      </c>
      <c r="F26" s="82" t="n">
        <f aca="false">IF($B26="","",$D26-$E26)</f>
        <v>0</v>
      </c>
      <c r="G26" s="83" t="n">
        <f aca="false">IF(OR($B26="",$D26=0),"",$E26/$D26)</f>
        <v>1</v>
      </c>
      <c r="I26" s="84" t="n">
        <f aca="false">IF($B26="",-1,$E26+ROW()/100000)</f>
        <v>900.00026</v>
      </c>
    </row>
    <row r="27" customFormat="false" ht="15" hidden="false" customHeight="false" outlineLevel="0" collapsed="false">
      <c r="B27" s="85" t="str">
        <f aca="false">IF(INDEX(Lijsten!$C$6:$C$35,2)="","",INDEX(Lijsten!$C$6:$C$35,2))</f>
        <v>Nutsvoorzieningen</v>
      </c>
      <c r="C27" s="92" t="n">
        <v>0</v>
      </c>
      <c r="D27" s="87" t="n">
        <f aca="false">IF($B27="","",SUMIFS('Vaste lasten'!$J$8:$J$207,'Vaste lasten'!$G$8:$G$207,$B27,'Vaste lasten'!$H$8:$H$207,"Ja")+SUMIFS(Schulden!$E$8:$E$37,Schulden!$F$8:$F$37,$B27,Schulden!$G$8:$G$37,"Ja")+IF($C27="",0,$C27))</f>
        <v>0</v>
      </c>
      <c r="E27" s="87" t="n">
        <f aca="false">IF($B27="","",SUMIFS('Vaste lasten'!$J$8:$J$207,'Vaste lasten'!$G$8:$G$207,$B27,'Vaste lasten'!$H$8:$H$207,"Ja")+SUMIFS(Schulden!$E$8:$E$37,Schulden!$F$8:$F$37,$B27,Schulden!$G$8:$G$37,"Ja")+SUMIFS(Transacties!$D$8:$D$507,Transacties!$H$8:$H$507,Dashboard!$N$4,Transacties!$B$8:$B$507,$B27))</f>
        <v>0</v>
      </c>
      <c r="F27" s="87" t="n">
        <f aca="false">IF($B27="","",$D27-$E27)</f>
        <v>0</v>
      </c>
      <c r="G27" s="88" t="str">
        <f aca="false">IF(OR($B27="",$D27=0),"",$E27/$D27)</f>
        <v/>
      </c>
      <c r="I27" s="84" t="n">
        <f aca="false">IF($B27="",-1,$E27+ROW()/100000)</f>
        <v>0.00027</v>
      </c>
    </row>
    <row r="28" customFormat="false" ht="15" hidden="false" customHeight="false" outlineLevel="0" collapsed="false">
      <c r="B28" s="80" t="str">
        <f aca="false">IF(INDEX(Lijsten!$C$6:$C$35,3)="","",INDEX(Lijsten!$C$6:$C$35,3))</f>
        <v>Telefoon &amp; internet</v>
      </c>
      <c r="C28" s="92" t="n">
        <v>0</v>
      </c>
      <c r="D28" s="82" t="n">
        <f aca="false">IF($B28="","",SUMIFS('Vaste lasten'!$J$8:$J$207,'Vaste lasten'!$G$8:$G$207,$B28,'Vaste lasten'!$H$8:$H$207,"Ja")+SUMIFS(Schulden!$E$8:$E$37,Schulden!$F$8:$F$37,$B28,Schulden!$G$8:$G$37,"Ja")+IF($C28="",0,$C28))</f>
        <v>0</v>
      </c>
      <c r="E28" s="82" t="n">
        <f aca="false">IF($B28="","",SUMIFS('Vaste lasten'!$J$8:$J$207,'Vaste lasten'!$G$8:$G$207,$B28,'Vaste lasten'!$H$8:$H$207,"Ja")+SUMIFS(Schulden!$E$8:$E$37,Schulden!$F$8:$F$37,$B28,Schulden!$G$8:$G$37,"Ja")+SUMIFS(Transacties!$D$8:$D$507,Transacties!$H$8:$H$507,Dashboard!$N$4,Transacties!$B$8:$B$507,$B28))</f>
        <v>0</v>
      </c>
      <c r="F28" s="82" t="n">
        <f aca="false">IF($B28="","",$D28-$E28)</f>
        <v>0</v>
      </c>
      <c r="G28" s="83" t="str">
        <f aca="false">IF(OR($B28="",$D28=0),"",$E28/$D28)</f>
        <v/>
      </c>
      <c r="I28" s="84" t="n">
        <f aca="false">IF($B28="",-1,$E28+ROW()/100000)</f>
        <v>0.00028</v>
      </c>
    </row>
    <row r="29" customFormat="false" ht="15" hidden="false" customHeight="false" outlineLevel="0" collapsed="false">
      <c r="B29" s="85" t="str">
        <f aca="false">IF(INDEX(Lijsten!$C$6:$C$35,4)="","",INDEX(Lijsten!$C$6:$C$35,4))</f>
        <v>Technologie &amp; software</v>
      </c>
      <c r="C29" s="92" t="n">
        <v>0</v>
      </c>
      <c r="D29" s="87" t="n">
        <f aca="false">IF($B29="","",SUMIFS('Vaste lasten'!$J$8:$J$207,'Vaste lasten'!$G$8:$G$207,$B29,'Vaste lasten'!$H$8:$H$207,"Ja")+SUMIFS(Schulden!$E$8:$E$37,Schulden!$F$8:$F$37,$B29,Schulden!$G$8:$G$37,"Ja")+IF($C29="",0,$C29))</f>
        <v>0</v>
      </c>
      <c r="E29" s="87" t="n">
        <f aca="false">IF($B29="","",SUMIFS('Vaste lasten'!$J$8:$J$207,'Vaste lasten'!$G$8:$G$207,$B29,'Vaste lasten'!$H$8:$H$207,"Ja")+SUMIFS(Schulden!$E$8:$E$37,Schulden!$F$8:$F$37,$B29,Schulden!$G$8:$G$37,"Ja")+SUMIFS(Transacties!$D$8:$D$507,Transacties!$H$8:$H$507,Dashboard!$N$4,Transacties!$B$8:$B$507,$B29))</f>
        <v>0</v>
      </c>
      <c r="F29" s="87" t="n">
        <f aca="false">IF($B29="","",$D29-$E29)</f>
        <v>0</v>
      </c>
      <c r="G29" s="88" t="str">
        <f aca="false">IF(OR($B29="",$D29=0),"",$E29/$D29)</f>
        <v/>
      </c>
      <c r="I29" s="84" t="n">
        <f aca="false">IF($B29="",-1,$E29+ROW()/100000)</f>
        <v>0.00029</v>
      </c>
    </row>
    <row r="30" customFormat="false" ht="15" hidden="false" customHeight="false" outlineLevel="0" collapsed="false">
      <c r="B30" s="80" t="str">
        <f aca="false">IF(INDEX(Lijsten!$C$6:$C$35,5)="","",INDEX(Lijsten!$C$6:$C$35,5))</f>
        <v>Verzekeringen</v>
      </c>
      <c r="C30" s="92" t="n">
        <v>0</v>
      </c>
      <c r="D30" s="82" t="n">
        <f aca="false">IF($B30="","",SUMIFS('Vaste lasten'!$J$8:$J$207,'Vaste lasten'!$G$8:$G$207,$B30,'Vaste lasten'!$H$8:$H$207,"Ja")+SUMIFS(Schulden!$E$8:$E$37,Schulden!$F$8:$F$37,$B30,Schulden!$G$8:$G$37,"Ja")+IF($C30="",0,$C30))</f>
        <v>0</v>
      </c>
      <c r="E30" s="82" t="n">
        <f aca="false">IF($B30="","",SUMIFS('Vaste lasten'!$J$8:$J$207,'Vaste lasten'!$G$8:$G$207,$B30,'Vaste lasten'!$H$8:$H$207,"Ja")+SUMIFS(Schulden!$E$8:$E$37,Schulden!$F$8:$F$37,$B30,Schulden!$G$8:$G$37,"Ja")+SUMIFS(Transacties!$D$8:$D$507,Transacties!$H$8:$H$507,Dashboard!$N$4,Transacties!$B$8:$B$507,$B30))</f>
        <v>0</v>
      </c>
      <c r="F30" s="82" t="n">
        <f aca="false">IF($B30="","",$D30-$E30)</f>
        <v>0</v>
      </c>
      <c r="G30" s="83" t="str">
        <f aca="false">IF(OR($B30="",$D30=0),"",$E30/$D30)</f>
        <v/>
      </c>
      <c r="I30" s="84" t="n">
        <f aca="false">IF($B30="",-1,$E30+ROW()/100000)</f>
        <v>0.0003</v>
      </c>
    </row>
    <row r="31" customFormat="false" ht="15" hidden="false" customHeight="false" outlineLevel="0" collapsed="false">
      <c r="B31" s="85" t="str">
        <f aca="false">IF(INDEX(Lijsten!$C$6:$C$35,6)="","",INDEX(Lijsten!$C$6:$C$35,6))</f>
        <v>Auto &amp; vervoer</v>
      </c>
      <c r="C31" s="92" t="n">
        <v>150</v>
      </c>
      <c r="D31" s="87" t="n">
        <f aca="false">IF($B31="","",SUMIFS('Vaste lasten'!$J$8:$J$207,'Vaste lasten'!$G$8:$G$207,$B31,'Vaste lasten'!$H$8:$H$207,"Ja")+SUMIFS(Schulden!$E$8:$E$37,Schulden!$F$8:$F$37,$B31,Schulden!$G$8:$G$37,"Ja")+IF($C31="",0,$C31))</f>
        <v>200</v>
      </c>
      <c r="E31" s="87" t="n">
        <f aca="false">IF($B31="","",SUMIFS('Vaste lasten'!$J$8:$J$207,'Vaste lasten'!$G$8:$G$207,$B31,'Vaste lasten'!$H$8:$H$207,"Ja")+SUMIFS(Schulden!$E$8:$E$37,Schulden!$F$8:$F$37,$B31,Schulden!$G$8:$G$37,"Ja")+SUMIFS(Transacties!$D$8:$D$507,Transacties!$H$8:$H$507,Dashboard!$N$4,Transacties!$B$8:$B$507,$B31))</f>
        <v>50</v>
      </c>
      <c r="F31" s="87" t="n">
        <f aca="false">IF($B31="","",$D31-$E31)</f>
        <v>150</v>
      </c>
      <c r="G31" s="88" t="n">
        <f aca="false">IF(OR($B31="",$D31=0),"",$E31/$D31)</f>
        <v>0.25</v>
      </c>
      <c r="I31" s="84" t="n">
        <f aca="false">IF($B31="",-1,$E31+ROW()/100000)</f>
        <v>50.00031</v>
      </c>
    </row>
    <row r="32" customFormat="false" ht="15" hidden="false" customHeight="false" outlineLevel="0" collapsed="false">
      <c r="B32" s="80" t="str">
        <f aca="false">IF(INDEX(Lijsten!$C$6:$C$35,7)="","",INDEX(Lijsten!$C$6:$C$35,7))</f>
        <v>Belastingen</v>
      </c>
      <c r="C32" s="92" t="n">
        <v>0</v>
      </c>
      <c r="D32" s="82" t="n">
        <f aca="false">IF($B32="","",SUMIFS('Vaste lasten'!$J$8:$J$207,'Vaste lasten'!$G$8:$G$207,$B32,'Vaste lasten'!$H$8:$H$207,"Ja")+SUMIFS(Schulden!$E$8:$E$37,Schulden!$F$8:$F$37,$B32,Schulden!$G$8:$G$37,"Ja")+IF($C32="",0,$C32))</f>
        <v>0</v>
      </c>
      <c r="E32" s="82" t="n">
        <f aca="false">IF($B32="","",SUMIFS('Vaste lasten'!$J$8:$J$207,'Vaste lasten'!$G$8:$G$207,$B32,'Vaste lasten'!$H$8:$H$207,"Ja")+SUMIFS(Schulden!$E$8:$E$37,Schulden!$F$8:$F$37,$B32,Schulden!$G$8:$G$37,"Ja")+SUMIFS(Transacties!$D$8:$D$507,Transacties!$H$8:$H$507,Dashboard!$N$4,Transacties!$B$8:$B$507,$B32))</f>
        <v>0</v>
      </c>
      <c r="F32" s="82" t="n">
        <f aca="false">IF($B32="","",$D32-$E32)</f>
        <v>0</v>
      </c>
      <c r="G32" s="83" t="str">
        <f aca="false">IF(OR($B32="",$D32=0),"",$E32/$D32)</f>
        <v/>
      </c>
      <c r="I32" s="84" t="n">
        <f aca="false">IF($B32="",-1,$E32+ROW()/100000)</f>
        <v>0.00032</v>
      </c>
    </row>
    <row r="33" customFormat="false" ht="15" hidden="false" customHeight="false" outlineLevel="0" collapsed="false">
      <c r="B33" s="85" t="str">
        <f aca="false">IF(INDEX(Lijsten!$C$6:$C$35,8)="","",INDEX(Lijsten!$C$6:$C$35,8))</f>
        <v>Boodschappen &amp; eten</v>
      </c>
      <c r="C33" s="92" t="n">
        <v>300</v>
      </c>
      <c r="D33" s="87" t="n">
        <f aca="false">IF($B33="","",SUMIFS('Vaste lasten'!$J$8:$J$207,'Vaste lasten'!$G$8:$G$207,$B33,'Vaste lasten'!$H$8:$H$207,"Ja")+SUMIFS(Schulden!$E$8:$E$37,Schulden!$F$8:$F$37,$B33,Schulden!$G$8:$G$37,"Ja")+IF($C33="",0,$C33))</f>
        <v>300</v>
      </c>
      <c r="E33" s="87" t="n">
        <f aca="false">IF($B33="","",SUMIFS('Vaste lasten'!$J$8:$J$207,'Vaste lasten'!$G$8:$G$207,$B33,'Vaste lasten'!$H$8:$H$207,"Ja")+SUMIFS(Schulden!$E$8:$E$37,Schulden!$F$8:$F$37,$B33,Schulden!$G$8:$G$37,"Ja")+SUMIFS(Transacties!$D$8:$D$507,Transacties!$H$8:$H$507,Dashboard!$N$4,Transacties!$B$8:$B$507,$B33))</f>
        <v>62.3</v>
      </c>
      <c r="F33" s="87" t="n">
        <f aca="false">IF($B33="","",$D33-$E33)</f>
        <v>237.7</v>
      </c>
      <c r="G33" s="88" t="n">
        <f aca="false">IF(OR($B33="",$D33=0),"",$E33/$D33)</f>
        <v>0.207666666666667</v>
      </c>
      <c r="I33" s="84" t="n">
        <f aca="false">IF($B33="",-1,$E33+ROW()/100000)</f>
        <v>62.30033</v>
      </c>
    </row>
    <row r="34" customFormat="false" ht="15" hidden="false" customHeight="false" outlineLevel="0" collapsed="false">
      <c r="B34" s="80" t="str">
        <f aca="false">IF(INDEX(Lijsten!$C$6:$C$35,9)="","",INDEX(Lijsten!$C$6:$C$35,9))</f>
        <v>Uit eten &amp; horeca</v>
      </c>
      <c r="C34" s="92" t="n">
        <v>0</v>
      </c>
      <c r="D34" s="82" t="n">
        <f aca="false">IF($B34="","",SUMIFS('Vaste lasten'!$J$8:$J$207,'Vaste lasten'!$G$8:$G$207,$B34,'Vaste lasten'!$H$8:$H$207,"Ja")+SUMIFS(Schulden!$E$8:$E$37,Schulden!$F$8:$F$37,$B34,Schulden!$G$8:$G$37,"Ja")+IF($C34="",0,$C34))</f>
        <v>0</v>
      </c>
      <c r="E34" s="82" t="n">
        <f aca="false">IF($B34="","",SUMIFS('Vaste lasten'!$J$8:$J$207,'Vaste lasten'!$G$8:$G$207,$B34,'Vaste lasten'!$H$8:$H$207,"Ja")+SUMIFS(Schulden!$E$8:$E$37,Schulden!$F$8:$F$37,$B34,Schulden!$G$8:$G$37,"Ja")+SUMIFS(Transacties!$D$8:$D$507,Transacties!$H$8:$H$507,Dashboard!$N$4,Transacties!$B$8:$B$507,$B34))</f>
        <v>0</v>
      </c>
      <c r="F34" s="82" t="n">
        <f aca="false">IF($B34="","",$D34-$E34)</f>
        <v>0</v>
      </c>
      <c r="G34" s="83" t="str">
        <f aca="false">IF(OR($B34="",$D34=0),"",$E34/$D34)</f>
        <v/>
      </c>
      <c r="I34" s="84" t="n">
        <f aca="false">IF($B34="",-1,$E34+ROW()/100000)</f>
        <v>0.00034</v>
      </c>
    </row>
    <row r="35" customFormat="false" ht="15" hidden="false" customHeight="false" outlineLevel="0" collapsed="false">
      <c r="B35" s="85" t="str">
        <f aca="false">IF(INDEX(Lijsten!$C$6:$C$35,10)="","",INDEX(Lijsten!$C$6:$C$35,10))</f>
        <v>Gezondheid &amp; zorg</v>
      </c>
      <c r="C35" s="92" t="n">
        <v>0</v>
      </c>
      <c r="D35" s="87" t="n">
        <f aca="false">IF($B35="","",SUMIFS('Vaste lasten'!$J$8:$J$207,'Vaste lasten'!$G$8:$G$207,$B35,'Vaste lasten'!$H$8:$H$207,"Ja")+SUMIFS(Schulden!$E$8:$E$37,Schulden!$F$8:$F$37,$B35,Schulden!$G$8:$G$37,"Ja")+IF($C35="",0,$C35))</f>
        <v>0</v>
      </c>
      <c r="E35" s="87" t="n">
        <f aca="false">IF($B35="","",SUMIFS('Vaste lasten'!$J$8:$J$207,'Vaste lasten'!$G$8:$G$207,$B35,'Vaste lasten'!$H$8:$H$207,"Ja")+SUMIFS(Schulden!$E$8:$E$37,Schulden!$F$8:$F$37,$B35,Schulden!$G$8:$G$37,"Ja")+SUMIFS(Transacties!$D$8:$D$507,Transacties!$H$8:$H$507,Dashboard!$N$4,Transacties!$B$8:$B$507,$B35))</f>
        <v>0</v>
      </c>
      <c r="F35" s="87" t="n">
        <f aca="false">IF($B35="","",$D35-$E35)</f>
        <v>0</v>
      </c>
      <c r="G35" s="88" t="str">
        <f aca="false">IF(OR($B35="",$D35=0),"",$E35/$D35)</f>
        <v/>
      </c>
      <c r="I35" s="84" t="n">
        <f aca="false">IF($B35="",-1,$E35+ROW()/100000)</f>
        <v>0.00035</v>
      </c>
    </row>
    <row r="36" customFormat="false" ht="15" hidden="false" customHeight="false" outlineLevel="0" collapsed="false">
      <c r="B36" s="80" t="str">
        <f aca="false">IF(INDEX(Lijsten!$C$6:$C$35,11)="","",INDEX(Lijsten!$C$6:$C$35,11))</f>
        <v>Persoonlijke verzorging</v>
      </c>
      <c r="C36" s="92" t="n">
        <v>0</v>
      </c>
      <c r="D36" s="82" t="n">
        <f aca="false">IF($B36="","",SUMIFS('Vaste lasten'!$J$8:$J$207,'Vaste lasten'!$G$8:$G$207,$B36,'Vaste lasten'!$H$8:$H$207,"Ja")+SUMIFS(Schulden!$E$8:$E$37,Schulden!$F$8:$F$37,$B36,Schulden!$G$8:$G$37,"Ja")+IF($C36="",0,$C36))</f>
        <v>0</v>
      </c>
      <c r="E36" s="82" t="n">
        <f aca="false">IF($B36="","",SUMIFS('Vaste lasten'!$J$8:$J$207,'Vaste lasten'!$G$8:$G$207,$B36,'Vaste lasten'!$H$8:$H$207,"Ja")+SUMIFS(Schulden!$E$8:$E$37,Schulden!$F$8:$F$37,$B36,Schulden!$G$8:$G$37,"Ja")+SUMIFS(Transacties!$D$8:$D$507,Transacties!$H$8:$H$507,Dashboard!$N$4,Transacties!$B$8:$B$507,$B36))</f>
        <v>0</v>
      </c>
      <c r="F36" s="82" t="n">
        <f aca="false">IF($B36="","",$D36-$E36)</f>
        <v>0</v>
      </c>
      <c r="G36" s="83" t="str">
        <f aca="false">IF(OR($B36="",$D36=0),"",$E36/$D36)</f>
        <v/>
      </c>
      <c r="I36" s="84" t="n">
        <f aca="false">IF($B36="",-1,$E36+ROW()/100000)</f>
        <v>0.00036</v>
      </c>
    </row>
    <row r="37" customFormat="false" ht="15" hidden="false" customHeight="false" outlineLevel="0" collapsed="false">
      <c r="B37" s="85" t="str">
        <f aca="false">IF(INDEX(Lijsten!$C$6:$C$35,12)="","",INDEX(Lijsten!$C$6:$C$35,12))</f>
        <v>Kleding</v>
      </c>
      <c r="C37" s="92" t="n">
        <v>0</v>
      </c>
      <c r="D37" s="87" t="n">
        <f aca="false">IF($B37="","",SUMIFS('Vaste lasten'!$J$8:$J$207,'Vaste lasten'!$G$8:$G$207,$B37,'Vaste lasten'!$H$8:$H$207,"Ja")+SUMIFS(Schulden!$E$8:$E$37,Schulden!$F$8:$F$37,$B37,Schulden!$G$8:$G$37,"Ja")+IF($C37="",0,$C37))</f>
        <v>0</v>
      </c>
      <c r="E37" s="87" t="n">
        <f aca="false">IF($B37="","",SUMIFS('Vaste lasten'!$J$8:$J$207,'Vaste lasten'!$G$8:$G$207,$B37,'Vaste lasten'!$H$8:$H$207,"Ja")+SUMIFS(Schulden!$E$8:$E$37,Schulden!$F$8:$F$37,$B37,Schulden!$G$8:$G$37,"Ja")+SUMIFS(Transacties!$D$8:$D$507,Transacties!$H$8:$H$507,Dashboard!$N$4,Transacties!$B$8:$B$507,$B37))</f>
        <v>0</v>
      </c>
      <c r="F37" s="87" t="n">
        <f aca="false">IF($B37="","",$D37-$E37)</f>
        <v>0</v>
      </c>
      <c r="G37" s="88" t="str">
        <f aca="false">IF(OR($B37="",$D37=0),"",$E37/$D37)</f>
        <v/>
      </c>
      <c r="I37" s="84" t="n">
        <f aca="false">IF($B37="",-1,$E37+ROW()/100000)</f>
        <v>0.00037</v>
      </c>
    </row>
    <row r="38" customFormat="false" ht="15" hidden="false" customHeight="false" outlineLevel="0" collapsed="false">
      <c r="B38" s="80" t="str">
        <f aca="false">IF(INDEX(Lijsten!$C$6:$C$35,13)="","",INDEX(Lijsten!$C$6:$C$35,13))</f>
        <v>Huishouden</v>
      </c>
      <c r="C38" s="92" t="n">
        <v>0</v>
      </c>
      <c r="D38" s="82" t="n">
        <f aca="false">IF($B38="","",SUMIFS('Vaste lasten'!$J$8:$J$207,'Vaste lasten'!$G$8:$G$207,$B38,'Vaste lasten'!$H$8:$H$207,"Ja")+SUMIFS(Schulden!$E$8:$E$37,Schulden!$F$8:$F$37,$B38,Schulden!$G$8:$G$37,"Ja")+IF($C38="",0,$C38))</f>
        <v>0</v>
      </c>
      <c r="E38" s="82" t="n">
        <f aca="false">IF($B38="","",SUMIFS('Vaste lasten'!$J$8:$J$207,'Vaste lasten'!$G$8:$G$207,$B38,'Vaste lasten'!$H$8:$H$207,"Ja")+SUMIFS(Schulden!$E$8:$E$37,Schulden!$F$8:$F$37,$B38,Schulden!$G$8:$G$37,"Ja")+SUMIFS(Transacties!$D$8:$D$507,Transacties!$H$8:$H$507,Dashboard!$N$4,Transacties!$B$8:$B$507,$B38))</f>
        <v>0</v>
      </c>
      <c r="F38" s="82" t="n">
        <f aca="false">IF($B38="","",$D38-$E38)</f>
        <v>0</v>
      </c>
      <c r="G38" s="83" t="str">
        <f aca="false">IF(OR($B38="",$D38=0),"",$E38/$D38)</f>
        <v/>
      </c>
      <c r="I38" s="84" t="n">
        <f aca="false">IF($B38="",-1,$E38+ROW()/100000)</f>
        <v>0.00038</v>
      </c>
    </row>
    <row r="39" customFormat="false" ht="15" hidden="false" customHeight="false" outlineLevel="0" collapsed="false">
      <c r="B39" s="85" t="str">
        <f aca="false">IF(INDEX(Lijsten!$C$6:$C$35,14)="","",INDEX(Lijsten!$C$6:$C$35,14))</f>
        <v>Abonnementen &amp; media</v>
      </c>
      <c r="C39" s="92" t="n">
        <v>0</v>
      </c>
      <c r="D39" s="87" t="n">
        <f aca="false">IF($B39="","",SUMIFS('Vaste lasten'!$J$8:$J$207,'Vaste lasten'!$G$8:$G$207,$B39,'Vaste lasten'!$H$8:$H$207,"Ja")+SUMIFS(Schulden!$E$8:$E$37,Schulden!$F$8:$F$37,$B39,Schulden!$G$8:$G$37,"Ja")+IF($C39="",0,$C39))</f>
        <v>0</v>
      </c>
      <c r="E39" s="87" t="n">
        <f aca="false">IF($B39="","",SUMIFS('Vaste lasten'!$J$8:$J$207,'Vaste lasten'!$G$8:$G$207,$B39,'Vaste lasten'!$H$8:$H$207,"Ja")+SUMIFS(Schulden!$E$8:$E$37,Schulden!$F$8:$F$37,$B39,Schulden!$G$8:$G$37,"Ja")+SUMIFS(Transacties!$D$8:$D$507,Transacties!$H$8:$H$507,Dashboard!$N$4,Transacties!$B$8:$B$507,$B39))</f>
        <v>0</v>
      </c>
      <c r="F39" s="87" t="n">
        <f aca="false">IF($B39="","",$D39-$E39)</f>
        <v>0</v>
      </c>
      <c r="G39" s="88" t="str">
        <f aca="false">IF(OR($B39="",$D39=0),"",$E39/$D39)</f>
        <v/>
      </c>
      <c r="I39" s="84" t="n">
        <f aca="false">IF($B39="",-1,$E39+ROW()/100000)</f>
        <v>0.00039</v>
      </c>
    </row>
    <row r="40" customFormat="false" ht="15" hidden="false" customHeight="false" outlineLevel="0" collapsed="false">
      <c r="B40" s="80" t="str">
        <f aca="false">IF(INDEX(Lijsten!$C$6:$C$35,15)="","",INDEX(Lijsten!$C$6:$C$35,15))</f>
        <v>Sport &amp; fitness</v>
      </c>
      <c r="C40" s="92" t="n">
        <v>0</v>
      </c>
      <c r="D40" s="82" t="n">
        <f aca="false">IF($B40="","",SUMIFS('Vaste lasten'!$J$8:$J$207,'Vaste lasten'!$G$8:$G$207,$B40,'Vaste lasten'!$H$8:$H$207,"Ja")+SUMIFS(Schulden!$E$8:$E$37,Schulden!$F$8:$F$37,$B40,Schulden!$G$8:$G$37,"Ja")+IF($C40="",0,$C40))</f>
        <v>0</v>
      </c>
      <c r="E40" s="82" t="n">
        <f aca="false">IF($B40="","",SUMIFS('Vaste lasten'!$J$8:$J$207,'Vaste lasten'!$G$8:$G$207,$B40,'Vaste lasten'!$H$8:$H$207,"Ja")+SUMIFS(Schulden!$E$8:$E$37,Schulden!$F$8:$F$37,$B40,Schulden!$G$8:$G$37,"Ja")+SUMIFS(Transacties!$D$8:$D$507,Transacties!$H$8:$H$507,Dashboard!$N$4,Transacties!$B$8:$B$507,$B40))</f>
        <v>0</v>
      </c>
      <c r="F40" s="82" t="n">
        <f aca="false">IF($B40="","",$D40-$E40)</f>
        <v>0</v>
      </c>
      <c r="G40" s="83" t="str">
        <f aca="false">IF(OR($B40="",$D40=0),"",$E40/$D40)</f>
        <v/>
      </c>
      <c r="I40" s="84" t="n">
        <f aca="false">IF($B40="",-1,$E40+ROW()/100000)</f>
        <v>0.0004</v>
      </c>
    </row>
    <row r="41" customFormat="false" ht="15" hidden="false" customHeight="false" outlineLevel="0" collapsed="false">
      <c r="B41" s="85" t="str">
        <f aca="false">IF(INDEX(Lijsten!$C$6:$C$35,16)="","",INDEX(Lijsten!$C$6:$C$35,16))</f>
        <v>Vrije tijd &amp; uitjes</v>
      </c>
      <c r="C41" s="92" t="n">
        <v>0</v>
      </c>
      <c r="D41" s="87" t="n">
        <f aca="false">IF($B41="","",SUMIFS('Vaste lasten'!$J$8:$J$207,'Vaste lasten'!$G$8:$G$207,$B41,'Vaste lasten'!$H$8:$H$207,"Ja")+SUMIFS(Schulden!$E$8:$E$37,Schulden!$F$8:$F$37,$B41,Schulden!$G$8:$G$37,"Ja")+IF($C41="",0,$C41))</f>
        <v>0</v>
      </c>
      <c r="E41" s="87" t="n">
        <f aca="false">IF($B41="","",SUMIFS('Vaste lasten'!$J$8:$J$207,'Vaste lasten'!$G$8:$G$207,$B41,'Vaste lasten'!$H$8:$H$207,"Ja")+SUMIFS(Schulden!$E$8:$E$37,Schulden!$F$8:$F$37,$B41,Schulden!$G$8:$G$37,"Ja")+SUMIFS(Transacties!$D$8:$D$507,Transacties!$H$8:$H$507,Dashboard!$N$4,Transacties!$B$8:$B$507,$B41))</f>
        <v>0</v>
      </c>
      <c r="F41" s="87" t="n">
        <f aca="false">IF($B41="","",$D41-$E41)</f>
        <v>0</v>
      </c>
      <c r="G41" s="88" t="str">
        <f aca="false">IF(OR($B41="",$D41=0),"",$E41/$D41)</f>
        <v/>
      </c>
      <c r="I41" s="84" t="n">
        <f aca="false">IF($B41="",-1,$E41+ROW()/100000)</f>
        <v>0.00041</v>
      </c>
    </row>
    <row r="42" customFormat="false" ht="15" hidden="false" customHeight="false" outlineLevel="0" collapsed="false">
      <c r="B42" s="80" t="str">
        <f aca="false">IF(INDEX(Lijsten!$C$6:$C$35,17)="","",INDEX(Lijsten!$C$6:$C$35,17))</f>
        <v>Vakantie &amp; reizen</v>
      </c>
      <c r="C42" s="92" t="n">
        <v>0</v>
      </c>
      <c r="D42" s="82" t="n">
        <f aca="false">IF($B42="","",SUMIFS('Vaste lasten'!$J$8:$J$207,'Vaste lasten'!$G$8:$G$207,$B42,'Vaste lasten'!$H$8:$H$207,"Ja")+SUMIFS(Schulden!$E$8:$E$37,Schulden!$F$8:$F$37,$B42,Schulden!$G$8:$G$37,"Ja")+IF($C42="",0,$C42))</f>
        <v>0</v>
      </c>
      <c r="E42" s="82" t="n">
        <f aca="false">IF($B42="","",SUMIFS('Vaste lasten'!$J$8:$J$207,'Vaste lasten'!$G$8:$G$207,$B42,'Vaste lasten'!$H$8:$H$207,"Ja")+SUMIFS(Schulden!$E$8:$E$37,Schulden!$F$8:$F$37,$B42,Schulden!$G$8:$G$37,"Ja")+SUMIFS(Transacties!$D$8:$D$507,Transacties!$H$8:$H$507,Dashboard!$N$4,Transacties!$B$8:$B$507,$B42))</f>
        <v>0</v>
      </c>
      <c r="F42" s="82" t="n">
        <f aca="false">IF($B42="","",$D42-$E42)</f>
        <v>0</v>
      </c>
      <c r="G42" s="83" t="str">
        <f aca="false">IF(OR($B42="",$D42=0),"",$E42/$D42)</f>
        <v/>
      </c>
      <c r="I42" s="84" t="n">
        <f aca="false">IF($B42="",-1,$E42+ROW()/100000)</f>
        <v>0.00042</v>
      </c>
    </row>
    <row r="43" customFormat="false" ht="15" hidden="false" customHeight="false" outlineLevel="0" collapsed="false">
      <c r="B43" s="85" t="str">
        <f aca="false">IF(INDEX(Lijsten!$C$6:$C$35,18)="","",INDEX(Lijsten!$C$6:$C$35,18))</f>
        <v>Studie &amp; ontwikkeling</v>
      </c>
      <c r="C43" s="92" t="n">
        <v>0</v>
      </c>
      <c r="D43" s="87" t="n">
        <f aca="false">IF($B43="","",SUMIFS('Vaste lasten'!$J$8:$J$207,'Vaste lasten'!$G$8:$G$207,$B43,'Vaste lasten'!$H$8:$H$207,"Ja")+SUMIFS(Schulden!$E$8:$E$37,Schulden!$F$8:$F$37,$B43,Schulden!$G$8:$G$37,"Ja")+IF($C43="",0,$C43))</f>
        <v>0</v>
      </c>
      <c r="E43" s="87" t="n">
        <f aca="false">IF($B43="","",SUMIFS('Vaste lasten'!$J$8:$J$207,'Vaste lasten'!$G$8:$G$207,$B43,'Vaste lasten'!$H$8:$H$207,"Ja")+SUMIFS(Schulden!$E$8:$E$37,Schulden!$F$8:$F$37,$B43,Schulden!$G$8:$G$37,"Ja")+SUMIFS(Transacties!$D$8:$D$507,Transacties!$H$8:$H$507,Dashboard!$N$4,Transacties!$B$8:$B$507,$B43))</f>
        <v>0</v>
      </c>
      <c r="F43" s="87" t="n">
        <f aca="false">IF($B43="","",$D43-$E43)</f>
        <v>0</v>
      </c>
      <c r="G43" s="88" t="str">
        <f aca="false">IF(OR($B43="",$D43=0),"",$E43/$D43)</f>
        <v/>
      </c>
      <c r="I43" s="84" t="n">
        <f aca="false">IF($B43="",-1,$E43+ROW()/100000)</f>
        <v>0.00043</v>
      </c>
    </row>
    <row r="44" customFormat="false" ht="15" hidden="false" customHeight="false" outlineLevel="0" collapsed="false">
      <c r="B44" s="80" t="str">
        <f aca="false">IF(INDEX(Lijsten!$C$6:$C$35,19)="","",INDEX(Lijsten!$C$6:$C$35,19))</f>
        <v>Kinderen &amp; alimentatie</v>
      </c>
      <c r="C44" s="92" t="n">
        <v>0</v>
      </c>
      <c r="D44" s="82" t="n">
        <f aca="false">IF($B44="","",SUMIFS('Vaste lasten'!$J$8:$J$207,'Vaste lasten'!$G$8:$G$207,$B44,'Vaste lasten'!$H$8:$H$207,"Ja")+SUMIFS(Schulden!$E$8:$E$37,Schulden!$F$8:$F$37,$B44,Schulden!$G$8:$G$37,"Ja")+IF($C44="",0,$C44))</f>
        <v>0</v>
      </c>
      <c r="E44" s="82" t="n">
        <f aca="false">IF($B44="","",SUMIFS('Vaste lasten'!$J$8:$J$207,'Vaste lasten'!$G$8:$G$207,$B44,'Vaste lasten'!$H$8:$H$207,"Ja")+SUMIFS(Schulden!$E$8:$E$37,Schulden!$F$8:$F$37,$B44,Schulden!$G$8:$G$37,"Ja")+SUMIFS(Transacties!$D$8:$D$507,Transacties!$H$8:$H$507,Dashboard!$N$4,Transacties!$B$8:$B$507,$B44))</f>
        <v>0</v>
      </c>
      <c r="F44" s="82" t="n">
        <f aca="false">IF($B44="","",$D44-$E44)</f>
        <v>0</v>
      </c>
      <c r="G44" s="83" t="str">
        <f aca="false">IF(OR($B44="",$D44=0),"",$E44/$D44)</f>
        <v/>
      </c>
      <c r="I44" s="84" t="n">
        <f aca="false">IF($B44="",-1,$E44+ROW()/100000)</f>
        <v>0.00044</v>
      </c>
    </row>
    <row r="45" customFormat="false" ht="15" hidden="false" customHeight="false" outlineLevel="0" collapsed="false">
      <c r="B45" s="85" t="str">
        <f aca="false">IF(INDEX(Lijsten!$C$6:$C$35,20)="","",INDEX(Lijsten!$C$6:$C$35,20))</f>
        <v>Giften &amp; goede doelen</v>
      </c>
      <c r="C45" s="92" t="n">
        <v>0</v>
      </c>
      <c r="D45" s="87" t="n">
        <f aca="false">IF($B45="","",SUMIFS('Vaste lasten'!$J$8:$J$207,'Vaste lasten'!$G$8:$G$207,$B45,'Vaste lasten'!$H$8:$H$207,"Ja")+SUMIFS(Schulden!$E$8:$E$37,Schulden!$F$8:$F$37,$B45,Schulden!$G$8:$G$37,"Ja")+IF($C45="",0,$C45))</f>
        <v>0</v>
      </c>
      <c r="E45" s="87" t="n">
        <f aca="false">IF($B45="","",SUMIFS('Vaste lasten'!$J$8:$J$207,'Vaste lasten'!$G$8:$G$207,$B45,'Vaste lasten'!$H$8:$H$207,"Ja")+SUMIFS(Schulden!$E$8:$E$37,Schulden!$F$8:$F$37,$B45,Schulden!$G$8:$G$37,"Ja")+SUMIFS(Transacties!$D$8:$D$507,Transacties!$H$8:$H$507,Dashboard!$N$4,Transacties!$B$8:$B$507,$B45))</f>
        <v>0</v>
      </c>
      <c r="F45" s="87" t="n">
        <f aca="false">IF($B45="","",$D45-$E45)</f>
        <v>0</v>
      </c>
      <c r="G45" s="88" t="str">
        <f aca="false">IF(OR($B45="",$D45=0),"",$E45/$D45)</f>
        <v/>
      </c>
      <c r="I45" s="84" t="n">
        <f aca="false">IF($B45="",-1,$E45+ROW()/100000)</f>
        <v>0.00045</v>
      </c>
    </row>
    <row r="46" customFormat="false" ht="15" hidden="false" customHeight="false" outlineLevel="0" collapsed="false">
      <c r="B46" s="80" t="str">
        <f aca="false">IF(INDEX(Lijsten!$C$6:$C$35,21)="","",INDEX(Lijsten!$C$6:$C$35,21))</f>
        <v>Huisdieren</v>
      </c>
      <c r="C46" s="92" t="n">
        <v>0</v>
      </c>
      <c r="D46" s="82" t="n">
        <f aca="false">IF($B46="","",SUMIFS('Vaste lasten'!$J$8:$J$207,'Vaste lasten'!$G$8:$G$207,$B46,'Vaste lasten'!$H$8:$H$207,"Ja")+SUMIFS(Schulden!$E$8:$E$37,Schulden!$F$8:$F$37,$B46,Schulden!$G$8:$G$37,"Ja")+IF($C46="",0,$C46))</f>
        <v>0</v>
      </c>
      <c r="E46" s="82" t="n">
        <f aca="false">IF($B46="","",SUMIFS('Vaste lasten'!$J$8:$J$207,'Vaste lasten'!$G$8:$G$207,$B46,'Vaste lasten'!$H$8:$H$207,"Ja")+SUMIFS(Schulden!$E$8:$E$37,Schulden!$F$8:$F$37,$B46,Schulden!$G$8:$G$37,"Ja")+SUMIFS(Transacties!$D$8:$D$507,Transacties!$H$8:$H$507,Dashboard!$N$4,Transacties!$B$8:$B$507,$B46))</f>
        <v>0</v>
      </c>
      <c r="F46" s="82" t="n">
        <f aca="false">IF($B46="","",$D46-$E46)</f>
        <v>0</v>
      </c>
      <c r="G46" s="83" t="str">
        <f aca="false">IF(OR($B46="",$D46=0),"",$E46/$D46)</f>
        <v/>
      </c>
      <c r="I46" s="84" t="n">
        <f aca="false">IF($B46="",-1,$E46+ROW()/100000)</f>
        <v>0.00046</v>
      </c>
    </row>
    <row r="47" customFormat="false" ht="15" hidden="false" customHeight="false" outlineLevel="0" collapsed="false">
      <c r="B47" s="85" t="str">
        <f aca="false">IF(INDEX(Lijsten!$C$6:$C$35,22)="","",INDEX(Lijsten!$C$6:$C$35,22))</f>
        <v>Schulden &amp; aflossingen</v>
      </c>
      <c r="C47" s="92" t="n">
        <v>0</v>
      </c>
      <c r="D47" s="87" t="n">
        <f aca="false">IF($B47="","",SUMIFS('Vaste lasten'!$J$8:$J$207,'Vaste lasten'!$G$8:$G$207,$B47,'Vaste lasten'!$H$8:$H$207,"Ja")+SUMIFS(Schulden!$E$8:$E$37,Schulden!$F$8:$F$37,$B47,Schulden!$G$8:$G$37,"Ja")+IF($C47="",0,$C47))</f>
        <v>190</v>
      </c>
      <c r="E47" s="87" t="n">
        <f aca="false">IF($B47="","",SUMIFS('Vaste lasten'!$J$8:$J$207,'Vaste lasten'!$G$8:$G$207,$B47,'Vaste lasten'!$H$8:$H$207,"Ja")+SUMIFS(Schulden!$E$8:$E$37,Schulden!$F$8:$F$37,$B47,Schulden!$G$8:$G$37,"Ja")+SUMIFS(Transacties!$D$8:$D$507,Transacties!$H$8:$H$507,Dashboard!$N$4,Transacties!$B$8:$B$507,$B47))</f>
        <v>190</v>
      </c>
      <c r="F47" s="87" t="n">
        <f aca="false">IF($B47="","",$D47-$E47)</f>
        <v>0</v>
      </c>
      <c r="G47" s="88" t="n">
        <f aca="false">IF(OR($B47="",$D47=0),"",$E47/$D47)</f>
        <v>1</v>
      </c>
      <c r="I47" s="84" t="n">
        <f aca="false">IF($B47="",-1,$E47+ROW()/100000)</f>
        <v>190.00047</v>
      </c>
    </row>
    <row r="48" customFormat="false" ht="15" hidden="false" customHeight="false" outlineLevel="0" collapsed="false">
      <c r="B48" s="80" t="str">
        <f aca="false">IF(INDEX(Lijsten!$C$6:$C$35,23)="","",INDEX(Lijsten!$C$6:$C$35,23))</f>
        <v>Sparen &amp; reserveringen</v>
      </c>
      <c r="C48" s="92" t="n">
        <v>0</v>
      </c>
      <c r="D48" s="82" t="n">
        <f aca="false">IF($B48="","",SUMIFS('Vaste lasten'!$J$8:$J$207,'Vaste lasten'!$G$8:$G$207,$B48,'Vaste lasten'!$H$8:$H$207,"Ja")+SUMIFS(Schulden!$E$8:$E$37,Schulden!$F$8:$F$37,$B48,Schulden!$G$8:$G$37,"Ja")+IF($C48="",0,$C48))</f>
        <v>0</v>
      </c>
      <c r="E48" s="82" t="n">
        <f aca="false">IF($B48="","",SUMIFS('Vaste lasten'!$J$8:$J$207,'Vaste lasten'!$G$8:$G$207,$B48,'Vaste lasten'!$H$8:$H$207,"Ja")+SUMIFS(Schulden!$E$8:$E$37,Schulden!$F$8:$F$37,$B48,Schulden!$G$8:$G$37,"Ja")+SUMIFS(Transacties!$D$8:$D$507,Transacties!$H$8:$H$507,Dashboard!$N$4,Transacties!$B$8:$B$507,$B48))</f>
        <v>0</v>
      </c>
      <c r="F48" s="82" t="n">
        <f aca="false">IF($B48="","",$D48-$E48)</f>
        <v>0</v>
      </c>
      <c r="G48" s="83" t="str">
        <f aca="false">IF(OR($B48="",$D48=0),"",$E48/$D48)</f>
        <v/>
      </c>
      <c r="I48" s="84" t="n">
        <f aca="false">IF($B48="",-1,$E48+ROW()/100000)</f>
        <v>0.00048</v>
      </c>
    </row>
    <row r="49" customFormat="false" ht="15" hidden="false" customHeight="false" outlineLevel="0" collapsed="false">
      <c r="B49" s="85" t="str">
        <f aca="false">IF(INDEX(Lijsten!$C$6:$C$35,24)="","",INDEX(Lijsten!$C$6:$C$35,24))</f>
        <v>Zakelijk</v>
      </c>
      <c r="C49" s="92" t="n">
        <v>0</v>
      </c>
      <c r="D49" s="87" t="n">
        <f aca="false">IF($B49="","",SUMIFS('Vaste lasten'!$J$8:$J$207,'Vaste lasten'!$G$8:$G$207,$B49,'Vaste lasten'!$H$8:$H$207,"Ja")+SUMIFS(Schulden!$E$8:$E$37,Schulden!$F$8:$F$37,$B49,Schulden!$G$8:$G$37,"Ja")+IF($C49="",0,$C49))</f>
        <v>0</v>
      </c>
      <c r="E49" s="87" t="n">
        <f aca="false">IF($B49="","",SUMIFS('Vaste lasten'!$J$8:$J$207,'Vaste lasten'!$G$8:$G$207,$B49,'Vaste lasten'!$H$8:$H$207,"Ja")+SUMIFS(Schulden!$E$8:$E$37,Schulden!$F$8:$F$37,$B49,Schulden!$G$8:$G$37,"Ja")+SUMIFS(Transacties!$D$8:$D$507,Transacties!$H$8:$H$507,Dashboard!$N$4,Transacties!$B$8:$B$507,$B49))</f>
        <v>0</v>
      </c>
      <c r="F49" s="87" t="n">
        <f aca="false">IF($B49="","",$D49-$E49)</f>
        <v>0</v>
      </c>
      <c r="G49" s="88" t="str">
        <f aca="false">IF(OR($B49="",$D49=0),"",$E49/$D49)</f>
        <v/>
      </c>
      <c r="I49" s="84" t="n">
        <f aca="false">IF($B49="",-1,$E49+ROW()/100000)</f>
        <v>0.00049</v>
      </c>
    </row>
    <row r="50" customFormat="false" ht="15" hidden="false" customHeight="false" outlineLevel="0" collapsed="false">
      <c r="B50" s="80" t="str">
        <f aca="false">IF(INDEX(Lijsten!$C$6:$C$35,25)="","",INDEX(Lijsten!$C$6:$C$35,25))</f>
        <v>Onvoorzien</v>
      </c>
      <c r="C50" s="92" t="n">
        <v>0</v>
      </c>
      <c r="D50" s="82" t="n">
        <f aca="false">IF($B50="","",SUMIFS('Vaste lasten'!$J$8:$J$207,'Vaste lasten'!$G$8:$G$207,$B50,'Vaste lasten'!$H$8:$H$207,"Ja")+SUMIFS(Schulden!$E$8:$E$37,Schulden!$F$8:$F$37,$B50,Schulden!$G$8:$G$37,"Ja")+IF($C50="",0,$C50))</f>
        <v>0</v>
      </c>
      <c r="E50" s="82" t="n">
        <f aca="false">IF($B50="","",SUMIFS('Vaste lasten'!$J$8:$J$207,'Vaste lasten'!$G$8:$G$207,$B50,'Vaste lasten'!$H$8:$H$207,"Ja")+SUMIFS(Schulden!$E$8:$E$37,Schulden!$F$8:$F$37,$B50,Schulden!$G$8:$G$37,"Ja")+SUMIFS(Transacties!$D$8:$D$507,Transacties!$H$8:$H$507,Dashboard!$N$4,Transacties!$B$8:$B$507,$B50))</f>
        <v>0</v>
      </c>
      <c r="F50" s="82" t="n">
        <f aca="false">IF($B50="","",$D50-$E50)</f>
        <v>0</v>
      </c>
      <c r="G50" s="83" t="str">
        <f aca="false">IF(OR($B50="",$D50=0),"",$E50/$D50)</f>
        <v/>
      </c>
      <c r="I50" s="84" t="n">
        <f aca="false">IF($B50="",-1,$E50+ROW()/100000)</f>
        <v>0.0005</v>
      </c>
    </row>
    <row r="51" customFormat="false" ht="15" hidden="false" customHeight="false" outlineLevel="0" collapsed="false">
      <c r="B51" s="85" t="str">
        <f aca="false">IF(INDEX(Lijsten!$C$6:$C$35,26)="","",INDEX(Lijsten!$C$6:$C$35,26))</f>
        <v>Overig</v>
      </c>
      <c r="C51" s="92" t="n">
        <v>0</v>
      </c>
      <c r="D51" s="87" t="n">
        <f aca="false">IF($B51="","",SUMIFS('Vaste lasten'!$J$8:$J$207,'Vaste lasten'!$G$8:$G$207,$B51,'Vaste lasten'!$H$8:$H$207,"Ja")+SUMIFS(Schulden!$E$8:$E$37,Schulden!$F$8:$F$37,$B51,Schulden!$G$8:$G$37,"Ja")+IF($C51="",0,$C51))</f>
        <v>0</v>
      </c>
      <c r="E51" s="87" t="n">
        <f aca="false">IF($B51="","",SUMIFS('Vaste lasten'!$J$8:$J$207,'Vaste lasten'!$G$8:$G$207,$B51,'Vaste lasten'!$H$8:$H$207,"Ja")+SUMIFS(Schulden!$E$8:$E$37,Schulden!$F$8:$F$37,$B51,Schulden!$G$8:$G$37,"Ja")+SUMIFS(Transacties!$D$8:$D$507,Transacties!$H$8:$H$507,Dashboard!$N$4,Transacties!$B$8:$B$507,$B51))</f>
        <v>0</v>
      </c>
      <c r="F51" s="87" t="n">
        <f aca="false">IF($B51="","",$D51-$E51)</f>
        <v>0</v>
      </c>
      <c r="G51" s="88" t="str">
        <f aca="false">IF(OR($B51="",$D51=0),"",$E51/$D51)</f>
        <v/>
      </c>
      <c r="I51" s="84" t="n">
        <f aca="false">IF($B51="",-1,$E51+ROW()/100000)</f>
        <v>0.00051</v>
      </c>
    </row>
    <row r="52" customFormat="false" ht="15" hidden="false" customHeight="false" outlineLevel="0" collapsed="false">
      <c r="B52" s="80" t="str">
        <f aca="false">IF(INDEX(Lijsten!$C$6:$C$35,27)="","",INDEX(Lijsten!$C$6:$C$35,27))</f>
        <v/>
      </c>
      <c r="C52" s="92"/>
      <c r="D52" s="82" t="str">
        <f aca="false">IF($B52="","",SUMIFS('Vaste lasten'!$J$8:$J$207,'Vaste lasten'!$G$8:$G$207,$B52,'Vaste lasten'!$H$8:$H$207,"Ja")+SUMIFS(Schulden!$E$8:$E$37,Schulden!$F$8:$F$37,$B52,Schulden!$G$8:$G$37,"Ja")+IF($C52="",0,$C52))</f>
        <v/>
      </c>
      <c r="E52" s="82" t="str">
        <f aca="false">IF($B52="","",SUMIFS('Vaste lasten'!$J$8:$J$207,'Vaste lasten'!$G$8:$G$207,$B52,'Vaste lasten'!$H$8:$H$207,"Ja")+SUMIFS(Schulden!$E$8:$E$37,Schulden!$F$8:$F$37,$B52,Schulden!$G$8:$G$37,"Ja")+SUMIFS(Transacties!$D$8:$D$507,Transacties!$H$8:$H$507,Dashboard!$N$4,Transacties!$B$8:$B$507,$B52))</f>
        <v/>
      </c>
      <c r="F52" s="82" t="str">
        <f aca="false">IF($B52="","",$D52-$E52)</f>
        <v/>
      </c>
      <c r="G52" s="83" t="str">
        <f aca="false">IF(OR($B52="",$D52=0),"",$E52/$D52)</f>
        <v/>
      </c>
      <c r="I52" s="84" t="n">
        <f aca="false">IF($B52="",-1,$E52+ROW()/100000)</f>
        <v>-1</v>
      </c>
    </row>
    <row r="53" customFormat="false" ht="15" hidden="false" customHeight="false" outlineLevel="0" collapsed="false">
      <c r="B53" s="85" t="str">
        <f aca="false">IF(INDEX(Lijsten!$C$6:$C$35,28)="","",INDEX(Lijsten!$C$6:$C$35,28))</f>
        <v/>
      </c>
      <c r="C53" s="92"/>
      <c r="D53" s="87" t="str">
        <f aca="false">IF($B53="","",SUMIFS('Vaste lasten'!$J$8:$J$207,'Vaste lasten'!$G$8:$G$207,$B53,'Vaste lasten'!$H$8:$H$207,"Ja")+SUMIFS(Schulden!$E$8:$E$37,Schulden!$F$8:$F$37,$B53,Schulden!$G$8:$G$37,"Ja")+IF($C53="",0,$C53))</f>
        <v/>
      </c>
      <c r="E53" s="87" t="str">
        <f aca="false">IF($B53="","",SUMIFS('Vaste lasten'!$J$8:$J$207,'Vaste lasten'!$G$8:$G$207,$B53,'Vaste lasten'!$H$8:$H$207,"Ja")+SUMIFS(Schulden!$E$8:$E$37,Schulden!$F$8:$F$37,$B53,Schulden!$G$8:$G$37,"Ja")+SUMIFS(Transacties!$D$8:$D$507,Transacties!$H$8:$H$507,Dashboard!$N$4,Transacties!$B$8:$B$507,$B53))</f>
        <v/>
      </c>
      <c r="F53" s="87" t="str">
        <f aca="false">IF($B53="","",$D53-$E53)</f>
        <v/>
      </c>
      <c r="G53" s="88" t="str">
        <f aca="false">IF(OR($B53="",$D53=0),"",$E53/$D53)</f>
        <v/>
      </c>
      <c r="I53" s="84" t="n">
        <f aca="false">IF($B53="",-1,$E53+ROW()/100000)</f>
        <v>-1</v>
      </c>
    </row>
    <row r="54" customFormat="false" ht="15" hidden="false" customHeight="false" outlineLevel="0" collapsed="false">
      <c r="B54" s="80" t="str">
        <f aca="false">IF(INDEX(Lijsten!$C$6:$C$35,29)="","",INDEX(Lijsten!$C$6:$C$35,29))</f>
        <v/>
      </c>
      <c r="C54" s="92"/>
      <c r="D54" s="82" t="str">
        <f aca="false">IF($B54="","",SUMIFS('Vaste lasten'!$J$8:$J$207,'Vaste lasten'!$G$8:$G$207,$B54,'Vaste lasten'!$H$8:$H$207,"Ja")+SUMIFS(Schulden!$E$8:$E$37,Schulden!$F$8:$F$37,$B54,Schulden!$G$8:$G$37,"Ja")+IF($C54="",0,$C54))</f>
        <v/>
      </c>
      <c r="E54" s="82" t="str">
        <f aca="false">IF($B54="","",SUMIFS('Vaste lasten'!$J$8:$J$207,'Vaste lasten'!$G$8:$G$207,$B54,'Vaste lasten'!$H$8:$H$207,"Ja")+SUMIFS(Schulden!$E$8:$E$37,Schulden!$F$8:$F$37,$B54,Schulden!$G$8:$G$37,"Ja")+SUMIFS(Transacties!$D$8:$D$507,Transacties!$H$8:$H$507,Dashboard!$N$4,Transacties!$B$8:$B$507,$B54))</f>
        <v/>
      </c>
      <c r="F54" s="82" t="str">
        <f aca="false">IF($B54="","",$D54-$E54)</f>
        <v/>
      </c>
      <c r="G54" s="83" t="str">
        <f aca="false">IF(OR($B54="",$D54=0),"",$E54/$D54)</f>
        <v/>
      </c>
      <c r="I54" s="84" t="n">
        <f aca="false">IF($B54="",-1,$E54+ROW()/100000)</f>
        <v>-1</v>
      </c>
    </row>
    <row r="55" customFormat="false" ht="15" hidden="false" customHeight="false" outlineLevel="0" collapsed="false">
      <c r="B55" s="85" t="str">
        <f aca="false">IF(INDEX(Lijsten!$C$6:$C$35,30)="","",INDEX(Lijsten!$C$6:$C$35,30))</f>
        <v/>
      </c>
      <c r="C55" s="92"/>
      <c r="D55" s="87" t="str">
        <f aca="false">IF($B55="","",SUMIFS('Vaste lasten'!$J$8:$J$207,'Vaste lasten'!$G$8:$G$207,$B55,'Vaste lasten'!$H$8:$H$207,"Ja")+SUMIFS(Schulden!$E$8:$E$37,Schulden!$F$8:$F$37,$B55,Schulden!$G$8:$G$37,"Ja")+IF($C55="",0,$C55))</f>
        <v/>
      </c>
      <c r="E55" s="87" t="str">
        <f aca="false">IF($B55="","",SUMIFS('Vaste lasten'!$J$8:$J$207,'Vaste lasten'!$G$8:$G$207,$B55,'Vaste lasten'!$H$8:$H$207,"Ja")+SUMIFS(Schulden!$E$8:$E$37,Schulden!$F$8:$F$37,$B55,Schulden!$G$8:$G$37,"Ja")+SUMIFS(Transacties!$D$8:$D$507,Transacties!$H$8:$H$507,Dashboard!$N$4,Transacties!$B$8:$B$507,$B55))</f>
        <v/>
      </c>
      <c r="F55" s="87" t="str">
        <f aca="false">IF($B55="","",$D55-$E55)</f>
        <v/>
      </c>
      <c r="G55" s="88" t="str">
        <f aca="false">IF(OR($B55="",$D55=0),"",$E55/$D55)</f>
        <v/>
      </c>
      <c r="I55" s="84" t="n">
        <f aca="false">IF($B55="",-1,$E55+ROW()/100000)</f>
        <v>-1</v>
      </c>
    </row>
    <row r="56" customFormat="false" ht="15" hidden="false" customHeight="false" outlineLevel="0" collapsed="false">
      <c r="B56" s="89" t="s">
        <v>93</v>
      </c>
      <c r="C56" s="90" t="n">
        <f aca="false">SUM(C26:C55)</f>
        <v>450</v>
      </c>
      <c r="D56" s="90" t="n">
        <f aca="false">SUM(D26:D55)</f>
        <v>1590</v>
      </c>
      <c r="E56" s="90" t="n">
        <f aca="false">SUM(E26:E55)</f>
        <v>1202.3</v>
      </c>
      <c r="F56" s="90" t="n">
        <f aca="false">SUM(F26:F55)</f>
        <v>387.7</v>
      </c>
      <c r="G56" s="91"/>
    </row>
    <row r="58" customFormat="false" ht="15" hidden="false" customHeight="false" outlineLevel="0" collapsed="false">
      <c r="B58" s="93" t="s">
        <v>94</v>
      </c>
      <c r="D58" s="94" t="n">
        <f aca="false">ROUND(Dashboard!$B$9-$E$22,2)</f>
        <v>0</v>
      </c>
      <c r="E58" s="94" t="n">
        <f aca="false">ROUND(Dashboard!$C$9-$E$56,2)</f>
        <v>0</v>
      </c>
      <c r="F58" s="12" t="s">
        <v>95</v>
      </c>
    </row>
  </sheetData>
  <conditionalFormatting sqref="B15:G21">
    <cfRule type="expression" priority="2" aboveAverage="0" equalAverage="0" bottom="0" percent="0" rank="0" text="" dxfId="0">
      <formula>AND($B15&lt;&gt;"",$D15=0,$E15=0)</formula>
    </cfRule>
  </conditionalFormatting>
  <conditionalFormatting sqref="B26:G55">
    <cfRule type="expression" priority="3" aboveAverage="0" equalAverage="0" bottom="0" percent="0" rank="0" text="" dxfId="0">
      <formula>AND($B26&lt;&gt;"",$D26=0,$E26=0)</formula>
    </cfRule>
  </conditionalFormatting>
  <conditionalFormatting sqref="G26:G55">
    <cfRule type="dataBar" priority="4">
      <dataBar showValue="1" minLength="10" maxLength="90">
        <cfvo type="num" val="0"/>
        <cfvo type="num" val="1.2"/>
        <color rgb="FF93C5FD"/>
      </dataBar>
      <extLst>
        <ext xmlns:x14="http://schemas.microsoft.com/office/spreadsheetml/2009/9/main" uri="{B025F937-C7B1-47D3-B67F-A62EFF666E3E}">
          <x14:id>{B284DD5A-FD5A-4758-8217-A641E36E5735}</x14:id>
        </ext>
      </extLst>
    </cfRule>
  </conditionalFormatting>
  <conditionalFormatting sqref="F26:F55">
    <cfRule type="cellIs" priority="5" operator="lessThan" aboveAverage="0" equalAverage="0" bottom="0" percent="0" rank="0" text="" dxfId="1">
      <formula>0</formula>
    </cfRule>
  </conditionalFormatting>
  <hyperlinks>
    <hyperlink ref="E2" location="'Start'!A1" display="⌂  Menu"/>
    <hyperlink ref="F2" location="'Dashboard'!A1" display="Dashboard ▸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84DD5A-FD5A-4758-8217-A641E36E5735}">
            <x14:dataBar minLength="10" maxLength="90" axisPosition="none" gradient="true">
              <x14:cfvo type="num">
                <xm:f>0</xm:f>
              </x14:cfvo>
              <x14:cfvo type="num">
                <xm:f>1.2</xm:f>
              </x14:cfvo>
              <x14:negativeFillColor rgb="FF93C5FD"/>
              <x14:axisColor rgb="FF000000"/>
            </x14:dataBar>
          </x14:cfRule>
          <xm:sqref>G26:G55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A1:W2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24"/>
    <col collapsed="false" customWidth="true" hidden="false" outlineLevel="0" max="8" min="8" style="0" width="9"/>
    <col collapsed="false" customWidth="true" hidden="false" outlineLevel="0" max="9" min="9" style="0" width="30"/>
    <col collapsed="false" customWidth="true" hidden="false" outlineLevel="0" max="10" min="10" style="0" width="17"/>
    <col collapsed="false" customWidth="true" hidden="true" outlineLevel="0" max="23" min="11" style="0" width="13"/>
  </cols>
  <sheetData>
    <row r="1" customFormat="false" ht="19.7" hidden="false" customHeight="false" outlineLevel="0" collapsed="false">
      <c r="A1" s="95" t="s">
        <v>7</v>
      </c>
      <c r="F1" s="32" t="s">
        <v>36</v>
      </c>
      <c r="G1" s="77" t="s">
        <v>82</v>
      </c>
    </row>
    <row r="2" customFormat="false" ht="15" hidden="false" customHeight="false" outlineLevel="0" collapsed="false">
      <c r="A2" s="15" t="s">
        <v>96</v>
      </c>
    </row>
    <row r="3" customFormat="false" ht="15" hidden="false" customHeight="false" outlineLevel="0" collapsed="false">
      <c r="A3" s="12" t="s">
        <v>97</v>
      </c>
    </row>
    <row r="5" customFormat="false" ht="16.15" hidden="false" customHeight="false" outlineLevel="0" collapsed="false">
      <c r="A5" s="96" t="s">
        <v>98</v>
      </c>
      <c r="F5" s="97" t="n">
        <f aca="false">SUMIFS($F$8:$F$207,$H$8:$H$207,"Ja")</f>
        <v>950</v>
      </c>
      <c r="G5" s="12" t="str">
        <f aca="false">COUNTIF($H$8:$H$207,"Ja")&amp;" actieve regels"</f>
        <v>2 actieve regels</v>
      </c>
      <c r="J5" s="12" t="s">
        <v>99</v>
      </c>
    </row>
    <row r="6" customFormat="false" ht="15" hidden="false" customHeight="false" outlineLevel="0" collapsed="false">
      <c r="J6" s="98" t="n">
        <f aca="false">SUMIFS($J$8:$J$207,$H$8:$H$207,"Ja")</f>
        <v>950</v>
      </c>
    </row>
    <row r="7" customFormat="false" ht="23.85" hidden="false" customHeight="false" outlineLevel="0" collapsed="false">
      <c r="A7" s="99" t="s">
        <v>100</v>
      </c>
      <c r="B7" s="99" t="s">
        <v>101</v>
      </c>
      <c r="C7" s="99" t="s">
        <v>102</v>
      </c>
      <c r="D7" s="99" t="s">
        <v>103</v>
      </c>
      <c r="E7" s="99" t="s">
        <v>104</v>
      </c>
      <c r="F7" s="99" t="s">
        <v>105</v>
      </c>
      <c r="G7" s="99" t="s">
        <v>85</v>
      </c>
      <c r="H7" s="99" t="s">
        <v>106</v>
      </c>
      <c r="I7" s="99" t="s">
        <v>107</v>
      </c>
      <c r="J7" s="100" t="s">
        <v>108</v>
      </c>
      <c r="K7" s="101" t="s">
        <v>109</v>
      </c>
      <c r="L7" s="101" t="s">
        <v>110</v>
      </c>
      <c r="M7" s="101" t="s">
        <v>111</v>
      </c>
      <c r="N7" s="101" t="s">
        <v>112</v>
      </c>
      <c r="O7" s="101" t="s">
        <v>113</v>
      </c>
      <c r="P7" s="101" t="s">
        <v>114</v>
      </c>
      <c r="Q7" s="101" t="s">
        <v>115</v>
      </c>
      <c r="R7" s="101" t="s">
        <v>43</v>
      </c>
      <c r="S7" s="101" t="s">
        <v>116</v>
      </c>
      <c r="T7" s="101" t="s">
        <v>117</v>
      </c>
      <c r="U7" s="101" t="s">
        <v>118</v>
      </c>
      <c r="V7" s="101" t="s">
        <v>119</v>
      </c>
      <c r="W7" s="33" t="s">
        <v>120</v>
      </c>
    </row>
    <row r="8" customFormat="false" ht="15" hidden="false" customHeight="false" outlineLevel="0" collapsed="false">
      <c r="A8" s="102" t="s">
        <v>121</v>
      </c>
      <c r="B8" s="102" t="s">
        <v>122</v>
      </c>
      <c r="C8" s="92" t="n">
        <v>900</v>
      </c>
      <c r="D8" s="102" t="s">
        <v>123</v>
      </c>
      <c r="E8" s="103"/>
      <c r="F8" s="104" t="n">
        <f aca="false">IF($C8="","",IF($D8="Per jaar",$C8/12,IF($D8="Per kwartaal",$C8/3,IF($D8="Per half jaar",$C8/6,IF($D8="Per week",$C8*52/12,$C8)))))</f>
        <v>900</v>
      </c>
      <c r="G8" s="102" t="s">
        <v>124</v>
      </c>
      <c r="H8" s="103" t="s">
        <v>125</v>
      </c>
      <c r="I8" s="105" t="s">
        <v>126</v>
      </c>
      <c r="J8" s="106" t="n">
        <f aca="false">IF($C8="","",IF(Dashboard!$C$4="Gemiddeld per maand",$F8,IF(OR($D8="Per maand",$D8="Per week",$D8=""),$F8,IF($D8="Per jaar",IF(Dashboard!$N$2=$W8,$C8,0),IF($D8="Per half jaar",IF(MOD(Dashboard!$N$2-$W8,6)=0,$C8,0),IF($D8="Per kwartaal",IF(MOD(Dashboard!$N$2-$W8,3)=0,$C8,0),$F8))))))</f>
        <v>900</v>
      </c>
      <c r="K8" s="107" t="n">
        <f aca="false">IF($C8="","",IF(Dashboard!$C$4="Gemiddeld per maand",$F8,IF(OR($D8="Per maand",$D8="Per week",$D8=""),$F8,IF($D8="Per jaar",IF(1=$W8,$C8,0),IF($D8="Per half jaar",IF(MOD(1-$W8,6)=0,$C8,0),IF($D8="Per kwartaal",IF(MOD(1-$W8,3)=0,$C8,0),$F8))))))</f>
        <v>900</v>
      </c>
      <c r="L8" s="107" t="n">
        <f aca="false">IF($C8="","",IF(Dashboard!$C$4="Gemiddeld per maand",$F8,IF(OR($D8="Per maand",$D8="Per week",$D8=""),$F8,IF($D8="Per jaar",IF(2=$W8,$C8,0),IF($D8="Per half jaar",IF(MOD(2-$W8,6)=0,$C8,0),IF($D8="Per kwartaal",IF(MOD(2-$W8,3)=0,$C8,0),$F8))))))</f>
        <v>900</v>
      </c>
      <c r="M8" s="107" t="n">
        <f aca="false">IF($C8="","",IF(Dashboard!$C$4="Gemiddeld per maand",$F8,IF(OR($D8="Per maand",$D8="Per week",$D8=""),$F8,IF($D8="Per jaar",IF(3=$W8,$C8,0),IF($D8="Per half jaar",IF(MOD(3-$W8,6)=0,$C8,0),IF($D8="Per kwartaal",IF(MOD(3-$W8,3)=0,$C8,0),$F8))))))</f>
        <v>900</v>
      </c>
      <c r="N8" s="107" t="n">
        <f aca="false">IF($C8="","",IF(Dashboard!$C$4="Gemiddeld per maand",$F8,IF(OR($D8="Per maand",$D8="Per week",$D8=""),$F8,IF($D8="Per jaar",IF(4=$W8,$C8,0),IF($D8="Per half jaar",IF(MOD(4-$W8,6)=0,$C8,0),IF($D8="Per kwartaal",IF(MOD(4-$W8,3)=0,$C8,0),$F8))))))</f>
        <v>900</v>
      </c>
      <c r="O8" s="107" t="n">
        <f aca="false">IF($C8="","",IF(Dashboard!$C$4="Gemiddeld per maand",$F8,IF(OR($D8="Per maand",$D8="Per week",$D8=""),$F8,IF($D8="Per jaar",IF(5=$W8,$C8,0),IF($D8="Per half jaar",IF(MOD(5-$W8,6)=0,$C8,0),IF($D8="Per kwartaal",IF(MOD(5-$W8,3)=0,$C8,0),$F8))))))</f>
        <v>900</v>
      </c>
      <c r="P8" s="107" t="n">
        <f aca="false">IF($C8="","",IF(Dashboard!$C$4="Gemiddeld per maand",$F8,IF(OR($D8="Per maand",$D8="Per week",$D8=""),$F8,IF($D8="Per jaar",IF(6=$W8,$C8,0),IF($D8="Per half jaar",IF(MOD(6-$W8,6)=0,$C8,0),IF($D8="Per kwartaal",IF(MOD(6-$W8,3)=0,$C8,0),$F8))))))</f>
        <v>900</v>
      </c>
      <c r="Q8" s="107" t="n">
        <f aca="false">IF($C8="","",IF(Dashboard!$C$4="Gemiddeld per maand",$F8,IF(OR($D8="Per maand",$D8="Per week",$D8=""),$F8,IF($D8="Per jaar",IF(7=$W8,$C8,0),IF($D8="Per half jaar",IF(MOD(7-$W8,6)=0,$C8,0),IF($D8="Per kwartaal",IF(MOD(7-$W8,3)=0,$C8,0),$F8))))))</f>
        <v>900</v>
      </c>
      <c r="R8" s="107" t="n">
        <f aca="false">IF($C8="","",IF(Dashboard!$C$4="Gemiddeld per maand",$F8,IF(OR($D8="Per maand",$D8="Per week",$D8=""),$F8,IF($D8="Per jaar",IF(8=$W8,$C8,0),IF($D8="Per half jaar",IF(MOD(8-$W8,6)=0,$C8,0),IF($D8="Per kwartaal",IF(MOD(8-$W8,3)=0,$C8,0),$F8))))))</f>
        <v>900</v>
      </c>
      <c r="S8" s="107" t="n">
        <f aca="false">IF($C8="","",IF(Dashboard!$C$4="Gemiddeld per maand",$F8,IF(OR($D8="Per maand",$D8="Per week",$D8=""),$F8,IF($D8="Per jaar",IF(9=$W8,$C8,0),IF($D8="Per half jaar",IF(MOD(9-$W8,6)=0,$C8,0),IF($D8="Per kwartaal",IF(MOD(9-$W8,3)=0,$C8,0),$F8))))))</f>
        <v>900</v>
      </c>
      <c r="T8" s="107" t="n">
        <f aca="false">IF($C8="","",IF(Dashboard!$C$4="Gemiddeld per maand",$F8,IF(OR($D8="Per maand",$D8="Per week",$D8=""),$F8,IF($D8="Per jaar",IF(10=$W8,$C8,0),IF($D8="Per half jaar",IF(MOD(10-$W8,6)=0,$C8,0),IF($D8="Per kwartaal",IF(MOD(10-$W8,3)=0,$C8,0),$F8))))))</f>
        <v>900</v>
      </c>
      <c r="U8" s="107" t="n">
        <f aca="false">IF($C8="","",IF(Dashboard!$C$4="Gemiddeld per maand",$F8,IF(OR($D8="Per maand",$D8="Per week",$D8=""),$F8,IF($D8="Per jaar",IF(11=$W8,$C8,0),IF($D8="Per half jaar",IF(MOD(11-$W8,6)=0,$C8,0),IF($D8="Per kwartaal",IF(MOD(11-$W8,3)=0,$C8,0),$F8))))))</f>
        <v>900</v>
      </c>
      <c r="V8" s="107" t="n">
        <f aca="false">IF($C8="","",IF(Dashboard!$C$4="Gemiddeld per maand",$F8,IF(OR($D8="Per maand",$D8="Per week",$D8=""),$F8,IF($D8="Per jaar",IF(12=$W8,$C8,0),IF($D8="Per half jaar",IF(MOD(12-$W8,6)=0,$C8,0),IF($D8="Per kwartaal",IF(MOD(12-$W8,3)=0,$C8,0),$F8))))))</f>
        <v>900</v>
      </c>
      <c r="W8" s="15" t="n">
        <f aca="false">IF($E8="",1,IFERROR(MATCH($E8,Lijsten!$K$6:$K$17,0),1))</f>
        <v>1</v>
      </c>
    </row>
    <row r="9" customFormat="false" ht="15" hidden="false" customHeight="false" outlineLevel="0" collapsed="false">
      <c r="A9" s="102" t="s">
        <v>127</v>
      </c>
      <c r="B9" s="102" t="s">
        <v>128</v>
      </c>
      <c r="C9" s="92" t="n">
        <v>150</v>
      </c>
      <c r="D9" s="102" t="s">
        <v>129</v>
      </c>
      <c r="E9" s="103" t="s">
        <v>109</v>
      </c>
      <c r="F9" s="104" t="n">
        <f aca="false">IF($C9="","",IF($D9="Per jaar",$C9/12,IF($D9="Per kwartaal",$C9/3,IF($D9="Per half jaar",$C9/6,IF($D9="Per week",$C9*52/12,$C9)))))</f>
        <v>50</v>
      </c>
      <c r="G9" s="102" t="s">
        <v>130</v>
      </c>
      <c r="H9" s="103" t="s">
        <v>125</v>
      </c>
      <c r="I9" s="105" t="s">
        <v>131</v>
      </c>
      <c r="J9" s="106" t="n">
        <f aca="false">IF($C9="","",IF(Dashboard!$C$4="Gemiddeld per maand",$F9,IF(OR($D9="Per maand",$D9="Per week",$D9=""),$F9,IF($D9="Per jaar",IF(Dashboard!$N$2=$W9,$C9,0),IF($D9="Per half jaar",IF(MOD(Dashboard!$N$2-$W9,6)=0,$C9,0),IF($D9="Per kwartaal",IF(MOD(Dashboard!$N$2-$W9,3)=0,$C9,0),$F9))))))</f>
        <v>50</v>
      </c>
      <c r="K9" s="107" t="n">
        <f aca="false">IF($C9="","",IF(Dashboard!$C$4="Gemiddeld per maand",$F9,IF(OR($D9="Per maand",$D9="Per week",$D9=""),$F9,IF($D9="Per jaar",IF(1=$W9,$C9,0),IF($D9="Per half jaar",IF(MOD(1-$W9,6)=0,$C9,0),IF($D9="Per kwartaal",IF(MOD(1-$W9,3)=0,$C9,0),$F9))))))</f>
        <v>50</v>
      </c>
      <c r="L9" s="107" t="n">
        <f aca="false">IF($C9="","",IF(Dashboard!$C$4="Gemiddeld per maand",$F9,IF(OR($D9="Per maand",$D9="Per week",$D9=""),$F9,IF($D9="Per jaar",IF(2=$W9,$C9,0),IF($D9="Per half jaar",IF(MOD(2-$W9,6)=0,$C9,0),IF($D9="Per kwartaal",IF(MOD(2-$W9,3)=0,$C9,0),$F9))))))</f>
        <v>50</v>
      </c>
      <c r="M9" s="107" t="n">
        <f aca="false">IF($C9="","",IF(Dashboard!$C$4="Gemiddeld per maand",$F9,IF(OR($D9="Per maand",$D9="Per week",$D9=""),$F9,IF($D9="Per jaar",IF(3=$W9,$C9,0),IF($D9="Per half jaar",IF(MOD(3-$W9,6)=0,$C9,0),IF($D9="Per kwartaal",IF(MOD(3-$W9,3)=0,$C9,0),$F9))))))</f>
        <v>50</v>
      </c>
      <c r="N9" s="107" t="n">
        <f aca="false">IF($C9="","",IF(Dashboard!$C$4="Gemiddeld per maand",$F9,IF(OR($D9="Per maand",$D9="Per week",$D9=""),$F9,IF($D9="Per jaar",IF(4=$W9,$C9,0),IF($D9="Per half jaar",IF(MOD(4-$W9,6)=0,$C9,0),IF($D9="Per kwartaal",IF(MOD(4-$W9,3)=0,$C9,0),$F9))))))</f>
        <v>50</v>
      </c>
      <c r="O9" s="107" t="n">
        <f aca="false">IF($C9="","",IF(Dashboard!$C$4="Gemiddeld per maand",$F9,IF(OR($D9="Per maand",$D9="Per week",$D9=""),$F9,IF($D9="Per jaar",IF(5=$W9,$C9,0),IF($D9="Per half jaar",IF(MOD(5-$W9,6)=0,$C9,0),IF($D9="Per kwartaal",IF(MOD(5-$W9,3)=0,$C9,0),$F9))))))</f>
        <v>50</v>
      </c>
      <c r="P9" s="107" t="n">
        <f aca="false">IF($C9="","",IF(Dashboard!$C$4="Gemiddeld per maand",$F9,IF(OR($D9="Per maand",$D9="Per week",$D9=""),$F9,IF($D9="Per jaar",IF(6=$W9,$C9,0),IF($D9="Per half jaar",IF(MOD(6-$W9,6)=0,$C9,0),IF($D9="Per kwartaal",IF(MOD(6-$W9,3)=0,$C9,0),$F9))))))</f>
        <v>50</v>
      </c>
      <c r="Q9" s="107" t="n">
        <f aca="false">IF($C9="","",IF(Dashboard!$C$4="Gemiddeld per maand",$F9,IF(OR($D9="Per maand",$D9="Per week",$D9=""),$F9,IF($D9="Per jaar",IF(7=$W9,$C9,0),IF($D9="Per half jaar",IF(MOD(7-$W9,6)=0,$C9,0),IF($D9="Per kwartaal",IF(MOD(7-$W9,3)=0,$C9,0),$F9))))))</f>
        <v>50</v>
      </c>
      <c r="R9" s="107" t="n">
        <f aca="false">IF($C9="","",IF(Dashboard!$C$4="Gemiddeld per maand",$F9,IF(OR($D9="Per maand",$D9="Per week",$D9=""),$F9,IF($D9="Per jaar",IF(8=$W9,$C9,0),IF($D9="Per half jaar",IF(MOD(8-$W9,6)=0,$C9,0),IF($D9="Per kwartaal",IF(MOD(8-$W9,3)=0,$C9,0),$F9))))))</f>
        <v>50</v>
      </c>
      <c r="S9" s="107" t="n">
        <f aca="false">IF($C9="","",IF(Dashboard!$C$4="Gemiddeld per maand",$F9,IF(OR($D9="Per maand",$D9="Per week",$D9=""),$F9,IF($D9="Per jaar",IF(9=$W9,$C9,0),IF($D9="Per half jaar",IF(MOD(9-$W9,6)=0,$C9,0),IF($D9="Per kwartaal",IF(MOD(9-$W9,3)=0,$C9,0),$F9))))))</f>
        <v>50</v>
      </c>
      <c r="T9" s="107" t="n">
        <f aca="false">IF($C9="","",IF(Dashboard!$C$4="Gemiddeld per maand",$F9,IF(OR($D9="Per maand",$D9="Per week",$D9=""),$F9,IF($D9="Per jaar",IF(10=$W9,$C9,0),IF($D9="Per half jaar",IF(MOD(10-$W9,6)=0,$C9,0),IF($D9="Per kwartaal",IF(MOD(10-$W9,3)=0,$C9,0),$F9))))))</f>
        <v>50</v>
      </c>
      <c r="U9" s="107" t="n">
        <f aca="false">IF($C9="","",IF(Dashboard!$C$4="Gemiddeld per maand",$F9,IF(OR($D9="Per maand",$D9="Per week",$D9=""),$F9,IF($D9="Per jaar",IF(11=$W9,$C9,0),IF($D9="Per half jaar",IF(MOD(11-$W9,6)=0,$C9,0),IF($D9="Per kwartaal",IF(MOD(11-$W9,3)=0,$C9,0),$F9))))))</f>
        <v>50</v>
      </c>
      <c r="V9" s="107" t="n">
        <f aca="false">IF($C9="","",IF(Dashboard!$C$4="Gemiddeld per maand",$F9,IF(OR($D9="Per maand",$D9="Per week",$D9=""),$F9,IF($D9="Per jaar",IF(12=$W9,$C9,0),IF($D9="Per half jaar",IF(MOD(12-$W9,6)=0,$C9,0),IF($D9="Per kwartaal",IF(MOD(12-$W9,3)=0,$C9,0),$F9))))))</f>
        <v>50</v>
      </c>
      <c r="W9" s="15" t="n">
        <f aca="false">IF($E9="",1,IFERROR(MATCH($E9,Lijsten!$K$6:$K$17,0),1))</f>
        <v>1</v>
      </c>
    </row>
    <row r="10" customFormat="false" ht="15" hidden="false" customHeight="false" outlineLevel="0" collapsed="false">
      <c r="A10" s="102"/>
      <c r="B10" s="102"/>
      <c r="C10" s="92"/>
      <c r="D10" s="102"/>
      <c r="E10" s="103"/>
      <c r="F10" s="104" t="str">
        <f aca="false">IF($C10="","",IF($D10="Per jaar",$C10/12,IF($D10="Per kwartaal",$C10/3,IF($D10="Per half jaar",$C10/6,IF($D10="Per week",$C10*52/12,$C10)))))</f>
        <v/>
      </c>
      <c r="G10" s="102"/>
      <c r="H10" s="103"/>
      <c r="I10" s="105"/>
      <c r="J10" s="106" t="str">
        <f aca="false">IF($C10="","",IF(Dashboard!$C$4="Gemiddeld per maand",$F10,IF(OR($D10="Per maand",$D10="Per week",$D10=""),$F10,IF($D10="Per jaar",IF(Dashboard!$N$2=$W10,$C10,0),IF($D10="Per half jaar",IF(MOD(Dashboard!$N$2-$W10,6)=0,$C10,0),IF($D10="Per kwartaal",IF(MOD(Dashboard!$N$2-$W10,3)=0,$C10,0),$F10))))))</f>
        <v/>
      </c>
      <c r="K10" s="107" t="str">
        <f aca="false">IF($C10="","",IF(Dashboard!$C$4="Gemiddeld per maand",$F10,IF(OR($D10="Per maand",$D10="Per week",$D10=""),$F10,IF($D10="Per jaar",IF(1=$W10,$C10,0),IF($D10="Per half jaar",IF(MOD(1-$W10,6)=0,$C10,0),IF($D10="Per kwartaal",IF(MOD(1-$W10,3)=0,$C10,0),$F10))))))</f>
        <v/>
      </c>
      <c r="L10" s="107" t="str">
        <f aca="false">IF($C10="","",IF(Dashboard!$C$4="Gemiddeld per maand",$F10,IF(OR($D10="Per maand",$D10="Per week",$D10=""),$F10,IF($D10="Per jaar",IF(2=$W10,$C10,0),IF($D10="Per half jaar",IF(MOD(2-$W10,6)=0,$C10,0),IF($D10="Per kwartaal",IF(MOD(2-$W10,3)=0,$C10,0),$F10))))))</f>
        <v/>
      </c>
      <c r="M10" s="107" t="str">
        <f aca="false">IF($C10="","",IF(Dashboard!$C$4="Gemiddeld per maand",$F10,IF(OR($D10="Per maand",$D10="Per week",$D10=""),$F10,IF($D10="Per jaar",IF(3=$W10,$C10,0),IF($D10="Per half jaar",IF(MOD(3-$W10,6)=0,$C10,0),IF($D10="Per kwartaal",IF(MOD(3-$W10,3)=0,$C10,0),$F10))))))</f>
        <v/>
      </c>
      <c r="N10" s="107" t="str">
        <f aca="false">IF($C10="","",IF(Dashboard!$C$4="Gemiddeld per maand",$F10,IF(OR($D10="Per maand",$D10="Per week",$D10=""),$F10,IF($D10="Per jaar",IF(4=$W10,$C10,0),IF($D10="Per half jaar",IF(MOD(4-$W10,6)=0,$C10,0),IF($D10="Per kwartaal",IF(MOD(4-$W10,3)=0,$C10,0),$F10))))))</f>
        <v/>
      </c>
      <c r="O10" s="107" t="str">
        <f aca="false">IF($C10="","",IF(Dashboard!$C$4="Gemiddeld per maand",$F10,IF(OR($D10="Per maand",$D10="Per week",$D10=""),$F10,IF($D10="Per jaar",IF(5=$W10,$C10,0),IF($D10="Per half jaar",IF(MOD(5-$W10,6)=0,$C10,0),IF($D10="Per kwartaal",IF(MOD(5-$W10,3)=0,$C10,0),$F10))))))</f>
        <v/>
      </c>
      <c r="P10" s="107" t="str">
        <f aca="false">IF($C10="","",IF(Dashboard!$C$4="Gemiddeld per maand",$F10,IF(OR($D10="Per maand",$D10="Per week",$D10=""),$F10,IF($D10="Per jaar",IF(6=$W10,$C10,0),IF($D10="Per half jaar",IF(MOD(6-$W10,6)=0,$C10,0),IF($D10="Per kwartaal",IF(MOD(6-$W10,3)=0,$C10,0),$F10))))))</f>
        <v/>
      </c>
      <c r="Q10" s="107" t="str">
        <f aca="false">IF($C10="","",IF(Dashboard!$C$4="Gemiddeld per maand",$F10,IF(OR($D10="Per maand",$D10="Per week",$D10=""),$F10,IF($D10="Per jaar",IF(7=$W10,$C10,0),IF($D10="Per half jaar",IF(MOD(7-$W10,6)=0,$C10,0),IF($D10="Per kwartaal",IF(MOD(7-$W10,3)=0,$C10,0),$F10))))))</f>
        <v/>
      </c>
      <c r="R10" s="107" t="str">
        <f aca="false">IF($C10="","",IF(Dashboard!$C$4="Gemiddeld per maand",$F10,IF(OR($D10="Per maand",$D10="Per week",$D10=""),$F10,IF($D10="Per jaar",IF(8=$W10,$C10,0),IF($D10="Per half jaar",IF(MOD(8-$W10,6)=0,$C10,0),IF($D10="Per kwartaal",IF(MOD(8-$W10,3)=0,$C10,0),$F10))))))</f>
        <v/>
      </c>
      <c r="S10" s="107" t="str">
        <f aca="false">IF($C10="","",IF(Dashboard!$C$4="Gemiddeld per maand",$F10,IF(OR($D10="Per maand",$D10="Per week",$D10=""),$F10,IF($D10="Per jaar",IF(9=$W10,$C10,0),IF($D10="Per half jaar",IF(MOD(9-$W10,6)=0,$C10,0),IF($D10="Per kwartaal",IF(MOD(9-$W10,3)=0,$C10,0),$F10))))))</f>
        <v/>
      </c>
      <c r="T10" s="107" t="str">
        <f aca="false">IF($C10="","",IF(Dashboard!$C$4="Gemiddeld per maand",$F10,IF(OR($D10="Per maand",$D10="Per week",$D10=""),$F10,IF($D10="Per jaar",IF(10=$W10,$C10,0),IF($D10="Per half jaar",IF(MOD(10-$W10,6)=0,$C10,0),IF($D10="Per kwartaal",IF(MOD(10-$W10,3)=0,$C10,0),$F10))))))</f>
        <v/>
      </c>
      <c r="U10" s="107" t="str">
        <f aca="false">IF($C10="","",IF(Dashboard!$C$4="Gemiddeld per maand",$F10,IF(OR($D10="Per maand",$D10="Per week",$D10=""),$F10,IF($D10="Per jaar",IF(11=$W10,$C10,0),IF($D10="Per half jaar",IF(MOD(11-$W10,6)=0,$C10,0),IF($D10="Per kwartaal",IF(MOD(11-$W10,3)=0,$C10,0),$F10))))))</f>
        <v/>
      </c>
      <c r="V10" s="107" t="str">
        <f aca="false">IF($C10="","",IF(Dashboard!$C$4="Gemiddeld per maand",$F10,IF(OR($D10="Per maand",$D10="Per week",$D10=""),$F10,IF($D10="Per jaar",IF(12=$W10,$C10,0),IF($D10="Per half jaar",IF(MOD(12-$W10,6)=0,$C10,0),IF($D10="Per kwartaal",IF(MOD(12-$W10,3)=0,$C10,0),$F10))))))</f>
        <v/>
      </c>
      <c r="W10" s="15" t="n">
        <f aca="false">IF($E10="",1,IFERROR(MATCH($E10,Lijsten!$K$6:$K$17,0),1))</f>
        <v>1</v>
      </c>
    </row>
    <row r="11" customFormat="false" ht="15" hidden="false" customHeight="false" outlineLevel="0" collapsed="false">
      <c r="A11" s="102"/>
      <c r="B11" s="102"/>
      <c r="C11" s="92"/>
      <c r="D11" s="102"/>
      <c r="E11" s="103"/>
      <c r="F11" s="104" t="str">
        <f aca="false">IF($C11="","",IF($D11="Per jaar",$C11/12,IF($D11="Per kwartaal",$C11/3,IF($D11="Per half jaar",$C11/6,IF($D11="Per week",$C11*52/12,$C11)))))</f>
        <v/>
      </c>
      <c r="G11" s="102"/>
      <c r="H11" s="103"/>
      <c r="I11" s="105"/>
      <c r="J11" s="106" t="str">
        <f aca="false">IF($C11="","",IF(Dashboard!$C$4="Gemiddeld per maand",$F11,IF(OR($D11="Per maand",$D11="Per week",$D11=""),$F11,IF($D11="Per jaar",IF(Dashboard!$N$2=$W11,$C11,0),IF($D11="Per half jaar",IF(MOD(Dashboard!$N$2-$W11,6)=0,$C11,0),IF($D11="Per kwartaal",IF(MOD(Dashboard!$N$2-$W11,3)=0,$C11,0),$F11))))))</f>
        <v/>
      </c>
      <c r="K11" s="107" t="str">
        <f aca="false">IF($C11="","",IF(Dashboard!$C$4="Gemiddeld per maand",$F11,IF(OR($D11="Per maand",$D11="Per week",$D11=""),$F11,IF($D11="Per jaar",IF(1=$W11,$C11,0),IF($D11="Per half jaar",IF(MOD(1-$W11,6)=0,$C11,0),IF($D11="Per kwartaal",IF(MOD(1-$W11,3)=0,$C11,0),$F11))))))</f>
        <v/>
      </c>
      <c r="L11" s="107" t="str">
        <f aca="false">IF($C11="","",IF(Dashboard!$C$4="Gemiddeld per maand",$F11,IF(OR($D11="Per maand",$D11="Per week",$D11=""),$F11,IF($D11="Per jaar",IF(2=$W11,$C11,0),IF($D11="Per half jaar",IF(MOD(2-$W11,6)=0,$C11,0),IF($D11="Per kwartaal",IF(MOD(2-$W11,3)=0,$C11,0),$F11))))))</f>
        <v/>
      </c>
      <c r="M11" s="107" t="str">
        <f aca="false">IF($C11="","",IF(Dashboard!$C$4="Gemiddeld per maand",$F11,IF(OR($D11="Per maand",$D11="Per week",$D11=""),$F11,IF($D11="Per jaar",IF(3=$W11,$C11,0),IF($D11="Per half jaar",IF(MOD(3-$W11,6)=0,$C11,0),IF($D11="Per kwartaal",IF(MOD(3-$W11,3)=0,$C11,0),$F11))))))</f>
        <v/>
      </c>
      <c r="N11" s="107" t="str">
        <f aca="false">IF($C11="","",IF(Dashboard!$C$4="Gemiddeld per maand",$F11,IF(OR($D11="Per maand",$D11="Per week",$D11=""),$F11,IF($D11="Per jaar",IF(4=$W11,$C11,0),IF($D11="Per half jaar",IF(MOD(4-$W11,6)=0,$C11,0),IF($D11="Per kwartaal",IF(MOD(4-$W11,3)=0,$C11,0),$F11))))))</f>
        <v/>
      </c>
      <c r="O11" s="107" t="str">
        <f aca="false">IF($C11="","",IF(Dashboard!$C$4="Gemiddeld per maand",$F11,IF(OR($D11="Per maand",$D11="Per week",$D11=""),$F11,IF($D11="Per jaar",IF(5=$W11,$C11,0),IF($D11="Per half jaar",IF(MOD(5-$W11,6)=0,$C11,0),IF($D11="Per kwartaal",IF(MOD(5-$W11,3)=0,$C11,0),$F11))))))</f>
        <v/>
      </c>
      <c r="P11" s="107" t="str">
        <f aca="false">IF($C11="","",IF(Dashboard!$C$4="Gemiddeld per maand",$F11,IF(OR($D11="Per maand",$D11="Per week",$D11=""),$F11,IF($D11="Per jaar",IF(6=$W11,$C11,0),IF($D11="Per half jaar",IF(MOD(6-$W11,6)=0,$C11,0),IF($D11="Per kwartaal",IF(MOD(6-$W11,3)=0,$C11,0),$F11))))))</f>
        <v/>
      </c>
      <c r="Q11" s="107" t="str">
        <f aca="false">IF($C11="","",IF(Dashboard!$C$4="Gemiddeld per maand",$F11,IF(OR($D11="Per maand",$D11="Per week",$D11=""),$F11,IF($D11="Per jaar",IF(7=$W11,$C11,0),IF($D11="Per half jaar",IF(MOD(7-$W11,6)=0,$C11,0),IF($D11="Per kwartaal",IF(MOD(7-$W11,3)=0,$C11,0),$F11))))))</f>
        <v/>
      </c>
      <c r="R11" s="107" t="str">
        <f aca="false">IF($C11="","",IF(Dashboard!$C$4="Gemiddeld per maand",$F11,IF(OR($D11="Per maand",$D11="Per week",$D11=""),$F11,IF($D11="Per jaar",IF(8=$W11,$C11,0),IF($D11="Per half jaar",IF(MOD(8-$W11,6)=0,$C11,0),IF($D11="Per kwartaal",IF(MOD(8-$W11,3)=0,$C11,0),$F11))))))</f>
        <v/>
      </c>
      <c r="S11" s="107" t="str">
        <f aca="false">IF($C11="","",IF(Dashboard!$C$4="Gemiddeld per maand",$F11,IF(OR($D11="Per maand",$D11="Per week",$D11=""),$F11,IF($D11="Per jaar",IF(9=$W11,$C11,0),IF($D11="Per half jaar",IF(MOD(9-$W11,6)=0,$C11,0),IF($D11="Per kwartaal",IF(MOD(9-$W11,3)=0,$C11,0),$F11))))))</f>
        <v/>
      </c>
      <c r="T11" s="107" t="str">
        <f aca="false">IF($C11="","",IF(Dashboard!$C$4="Gemiddeld per maand",$F11,IF(OR($D11="Per maand",$D11="Per week",$D11=""),$F11,IF($D11="Per jaar",IF(10=$W11,$C11,0),IF($D11="Per half jaar",IF(MOD(10-$W11,6)=0,$C11,0),IF($D11="Per kwartaal",IF(MOD(10-$W11,3)=0,$C11,0),$F11))))))</f>
        <v/>
      </c>
      <c r="U11" s="107" t="str">
        <f aca="false">IF($C11="","",IF(Dashboard!$C$4="Gemiddeld per maand",$F11,IF(OR($D11="Per maand",$D11="Per week",$D11=""),$F11,IF($D11="Per jaar",IF(11=$W11,$C11,0),IF($D11="Per half jaar",IF(MOD(11-$W11,6)=0,$C11,0),IF($D11="Per kwartaal",IF(MOD(11-$W11,3)=0,$C11,0),$F11))))))</f>
        <v/>
      </c>
      <c r="V11" s="107" t="str">
        <f aca="false">IF($C11="","",IF(Dashboard!$C$4="Gemiddeld per maand",$F11,IF(OR($D11="Per maand",$D11="Per week",$D11=""),$F11,IF($D11="Per jaar",IF(12=$W11,$C11,0),IF($D11="Per half jaar",IF(MOD(12-$W11,6)=0,$C11,0),IF($D11="Per kwartaal",IF(MOD(12-$W11,3)=0,$C11,0),$F11))))))</f>
        <v/>
      </c>
      <c r="W11" s="15" t="n">
        <f aca="false">IF($E11="",1,IFERROR(MATCH($E11,Lijsten!$K$6:$K$17,0),1))</f>
        <v>1</v>
      </c>
    </row>
    <row r="12" customFormat="false" ht="15" hidden="false" customHeight="false" outlineLevel="0" collapsed="false">
      <c r="A12" s="102"/>
      <c r="B12" s="102"/>
      <c r="C12" s="92"/>
      <c r="D12" s="102"/>
      <c r="E12" s="103"/>
      <c r="F12" s="104" t="str">
        <f aca="false">IF($C12="","",IF($D12="Per jaar",$C12/12,IF($D12="Per kwartaal",$C12/3,IF($D12="Per half jaar",$C12/6,IF($D12="Per week",$C12*52/12,$C12)))))</f>
        <v/>
      </c>
      <c r="G12" s="102"/>
      <c r="H12" s="103"/>
      <c r="I12" s="105"/>
      <c r="J12" s="106" t="str">
        <f aca="false">IF($C12="","",IF(Dashboard!$C$4="Gemiddeld per maand",$F12,IF(OR($D12="Per maand",$D12="Per week",$D12=""),$F12,IF($D12="Per jaar",IF(Dashboard!$N$2=$W12,$C12,0),IF($D12="Per half jaar",IF(MOD(Dashboard!$N$2-$W12,6)=0,$C12,0),IF($D12="Per kwartaal",IF(MOD(Dashboard!$N$2-$W12,3)=0,$C12,0),$F12))))))</f>
        <v/>
      </c>
      <c r="K12" s="107" t="str">
        <f aca="false">IF($C12="","",IF(Dashboard!$C$4="Gemiddeld per maand",$F12,IF(OR($D12="Per maand",$D12="Per week",$D12=""),$F12,IF($D12="Per jaar",IF(1=$W12,$C12,0),IF($D12="Per half jaar",IF(MOD(1-$W12,6)=0,$C12,0),IF($D12="Per kwartaal",IF(MOD(1-$W12,3)=0,$C12,0),$F12))))))</f>
        <v/>
      </c>
      <c r="L12" s="107" t="str">
        <f aca="false">IF($C12="","",IF(Dashboard!$C$4="Gemiddeld per maand",$F12,IF(OR($D12="Per maand",$D12="Per week",$D12=""),$F12,IF($D12="Per jaar",IF(2=$W12,$C12,0),IF($D12="Per half jaar",IF(MOD(2-$W12,6)=0,$C12,0),IF($D12="Per kwartaal",IF(MOD(2-$W12,3)=0,$C12,0),$F12))))))</f>
        <v/>
      </c>
      <c r="M12" s="107" t="str">
        <f aca="false">IF($C12="","",IF(Dashboard!$C$4="Gemiddeld per maand",$F12,IF(OR($D12="Per maand",$D12="Per week",$D12=""),$F12,IF($D12="Per jaar",IF(3=$W12,$C12,0),IF($D12="Per half jaar",IF(MOD(3-$W12,6)=0,$C12,0),IF($D12="Per kwartaal",IF(MOD(3-$W12,3)=0,$C12,0),$F12))))))</f>
        <v/>
      </c>
      <c r="N12" s="107" t="str">
        <f aca="false">IF($C12="","",IF(Dashboard!$C$4="Gemiddeld per maand",$F12,IF(OR($D12="Per maand",$D12="Per week",$D12=""),$F12,IF($D12="Per jaar",IF(4=$W12,$C12,0),IF($D12="Per half jaar",IF(MOD(4-$W12,6)=0,$C12,0),IF($D12="Per kwartaal",IF(MOD(4-$W12,3)=0,$C12,0),$F12))))))</f>
        <v/>
      </c>
      <c r="O12" s="107" t="str">
        <f aca="false">IF($C12="","",IF(Dashboard!$C$4="Gemiddeld per maand",$F12,IF(OR($D12="Per maand",$D12="Per week",$D12=""),$F12,IF($D12="Per jaar",IF(5=$W12,$C12,0),IF($D12="Per half jaar",IF(MOD(5-$W12,6)=0,$C12,0),IF($D12="Per kwartaal",IF(MOD(5-$W12,3)=0,$C12,0),$F12))))))</f>
        <v/>
      </c>
      <c r="P12" s="107" t="str">
        <f aca="false">IF($C12="","",IF(Dashboard!$C$4="Gemiddeld per maand",$F12,IF(OR($D12="Per maand",$D12="Per week",$D12=""),$F12,IF($D12="Per jaar",IF(6=$W12,$C12,0),IF($D12="Per half jaar",IF(MOD(6-$W12,6)=0,$C12,0),IF($D12="Per kwartaal",IF(MOD(6-$W12,3)=0,$C12,0),$F12))))))</f>
        <v/>
      </c>
      <c r="Q12" s="107" t="str">
        <f aca="false">IF($C12="","",IF(Dashboard!$C$4="Gemiddeld per maand",$F12,IF(OR($D12="Per maand",$D12="Per week",$D12=""),$F12,IF($D12="Per jaar",IF(7=$W12,$C12,0),IF($D12="Per half jaar",IF(MOD(7-$W12,6)=0,$C12,0),IF($D12="Per kwartaal",IF(MOD(7-$W12,3)=0,$C12,0),$F12))))))</f>
        <v/>
      </c>
      <c r="R12" s="107" t="str">
        <f aca="false">IF($C12="","",IF(Dashboard!$C$4="Gemiddeld per maand",$F12,IF(OR($D12="Per maand",$D12="Per week",$D12=""),$F12,IF($D12="Per jaar",IF(8=$W12,$C12,0),IF($D12="Per half jaar",IF(MOD(8-$W12,6)=0,$C12,0),IF($D12="Per kwartaal",IF(MOD(8-$W12,3)=0,$C12,0),$F12))))))</f>
        <v/>
      </c>
      <c r="S12" s="107" t="str">
        <f aca="false">IF($C12="","",IF(Dashboard!$C$4="Gemiddeld per maand",$F12,IF(OR($D12="Per maand",$D12="Per week",$D12=""),$F12,IF($D12="Per jaar",IF(9=$W12,$C12,0),IF($D12="Per half jaar",IF(MOD(9-$W12,6)=0,$C12,0),IF($D12="Per kwartaal",IF(MOD(9-$W12,3)=0,$C12,0),$F12))))))</f>
        <v/>
      </c>
      <c r="T12" s="107" t="str">
        <f aca="false">IF($C12="","",IF(Dashboard!$C$4="Gemiddeld per maand",$F12,IF(OR($D12="Per maand",$D12="Per week",$D12=""),$F12,IF($D12="Per jaar",IF(10=$W12,$C12,0),IF($D12="Per half jaar",IF(MOD(10-$W12,6)=0,$C12,0),IF($D12="Per kwartaal",IF(MOD(10-$W12,3)=0,$C12,0),$F12))))))</f>
        <v/>
      </c>
      <c r="U12" s="107" t="str">
        <f aca="false">IF($C12="","",IF(Dashboard!$C$4="Gemiddeld per maand",$F12,IF(OR($D12="Per maand",$D12="Per week",$D12=""),$F12,IF($D12="Per jaar",IF(11=$W12,$C12,0),IF($D12="Per half jaar",IF(MOD(11-$W12,6)=0,$C12,0),IF($D12="Per kwartaal",IF(MOD(11-$W12,3)=0,$C12,0),$F12))))))</f>
        <v/>
      </c>
      <c r="V12" s="107" t="str">
        <f aca="false">IF($C12="","",IF(Dashboard!$C$4="Gemiddeld per maand",$F12,IF(OR($D12="Per maand",$D12="Per week",$D12=""),$F12,IF($D12="Per jaar",IF(12=$W12,$C12,0),IF($D12="Per half jaar",IF(MOD(12-$W12,6)=0,$C12,0),IF($D12="Per kwartaal",IF(MOD(12-$W12,3)=0,$C12,0),$F12))))))</f>
        <v/>
      </c>
      <c r="W12" s="15" t="n">
        <f aca="false">IF($E12="",1,IFERROR(MATCH($E12,Lijsten!$K$6:$K$17,0),1))</f>
        <v>1</v>
      </c>
    </row>
    <row r="13" customFormat="false" ht="15" hidden="false" customHeight="false" outlineLevel="0" collapsed="false">
      <c r="A13" s="102"/>
      <c r="B13" s="102"/>
      <c r="C13" s="92"/>
      <c r="D13" s="102"/>
      <c r="E13" s="103"/>
      <c r="F13" s="104" t="str">
        <f aca="false">IF($C13="","",IF($D13="Per jaar",$C13/12,IF($D13="Per kwartaal",$C13/3,IF($D13="Per half jaar",$C13/6,IF($D13="Per week",$C13*52/12,$C13)))))</f>
        <v/>
      </c>
      <c r="G13" s="102"/>
      <c r="H13" s="103"/>
      <c r="I13" s="105"/>
      <c r="J13" s="106" t="str">
        <f aca="false">IF($C13="","",IF(Dashboard!$C$4="Gemiddeld per maand",$F13,IF(OR($D13="Per maand",$D13="Per week",$D13=""),$F13,IF($D13="Per jaar",IF(Dashboard!$N$2=$W13,$C13,0),IF($D13="Per half jaar",IF(MOD(Dashboard!$N$2-$W13,6)=0,$C13,0),IF($D13="Per kwartaal",IF(MOD(Dashboard!$N$2-$W13,3)=0,$C13,0),$F13))))))</f>
        <v/>
      </c>
      <c r="K13" s="107" t="str">
        <f aca="false">IF($C13="","",IF(Dashboard!$C$4="Gemiddeld per maand",$F13,IF(OR($D13="Per maand",$D13="Per week",$D13=""),$F13,IF($D13="Per jaar",IF(1=$W13,$C13,0),IF($D13="Per half jaar",IF(MOD(1-$W13,6)=0,$C13,0),IF($D13="Per kwartaal",IF(MOD(1-$W13,3)=0,$C13,0),$F13))))))</f>
        <v/>
      </c>
      <c r="L13" s="107" t="str">
        <f aca="false">IF($C13="","",IF(Dashboard!$C$4="Gemiddeld per maand",$F13,IF(OR($D13="Per maand",$D13="Per week",$D13=""),$F13,IF($D13="Per jaar",IF(2=$W13,$C13,0),IF($D13="Per half jaar",IF(MOD(2-$W13,6)=0,$C13,0),IF($D13="Per kwartaal",IF(MOD(2-$W13,3)=0,$C13,0),$F13))))))</f>
        <v/>
      </c>
      <c r="M13" s="107" t="str">
        <f aca="false">IF($C13="","",IF(Dashboard!$C$4="Gemiddeld per maand",$F13,IF(OR($D13="Per maand",$D13="Per week",$D13=""),$F13,IF($D13="Per jaar",IF(3=$W13,$C13,0),IF($D13="Per half jaar",IF(MOD(3-$W13,6)=0,$C13,0),IF($D13="Per kwartaal",IF(MOD(3-$W13,3)=0,$C13,0),$F13))))))</f>
        <v/>
      </c>
      <c r="N13" s="107" t="str">
        <f aca="false">IF($C13="","",IF(Dashboard!$C$4="Gemiddeld per maand",$F13,IF(OR($D13="Per maand",$D13="Per week",$D13=""),$F13,IF($D13="Per jaar",IF(4=$W13,$C13,0),IF($D13="Per half jaar",IF(MOD(4-$W13,6)=0,$C13,0),IF($D13="Per kwartaal",IF(MOD(4-$W13,3)=0,$C13,0),$F13))))))</f>
        <v/>
      </c>
      <c r="O13" s="107" t="str">
        <f aca="false">IF($C13="","",IF(Dashboard!$C$4="Gemiddeld per maand",$F13,IF(OR($D13="Per maand",$D13="Per week",$D13=""),$F13,IF($D13="Per jaar",IF(5=$W13,$C13,0),IF($D13="Per half jaar",IF(MOD(5-$W13,6)=0,$C13,0),IF($D13="Per kwartaal",IF(MOD(5-$W13,3)=0,$C13,0),$F13))))))</f>
        <v/>
      </c>
      <c r="P13" s="107" t="str">
        <f aca="false">IF($C13="","",IF(Dashboard!$C$4="Gemiddeld per maand",$F13,IF(OR($D13="Per maand",$D13="Per week",$D13=""),$F13,IF($D13="Per jaar",IF(6=$W13,$C13,0),IF($D13="Per half jaar",IF(MOD(6-$W13,6)=0,$C13,0),IF($D13="Per kwartaal",IF(MOD(6-$W13,3)=0,$C13,0),$F13))))))</f>
        <v/>
      </c>
      <c r="Q13" s="107" t="str">
        <f aca="false">IF($C13="","",IF(Dashboard!$C$4="Gemiddeld per maand",$F13,IF(OR($D13="Per maand",$D13="Per week",$D13=""),$F13,IF($D13="Per jaar",IF(7=$W13,$C13,0),IF($D13="Per half jaar",IF(MOD(7-$W13,6)=0,$C13,0),IF($D13="Per kwartaal",IF(MOD(7-$W13,3)=0,$C13,0),$F13))))))</f>
        <v/>
      </c>
      <c r="R13" s="107" t="str">
        <f aca="false">IF($C13="","",IF(Dashboard!$C$4="Gemiddeld per maand",$F13,IF(OR($D13="Per maand",$D13="Per week",$D13=""),$F13,IF($D13="Per jaar",IF(8=$W13,$C13,0),IF($D13="Per half jaar",IF(MOD(8-$W13,6)=0,$C13,0),IF($D13="Per kwartaal",IF(MOD(8-$W13,3)=0,$C13,0),$F13))))))</f>
        <v/>
      </c>
      <c r="S13" s="107" t="str">
        <f aca="false">IF($C13="","",IF(Dashboard!$C$4="Gemiddeld per maand",$F13,IF(OR($D13="Per maand",$D13="Per week",$D13=""),$F13,IF($D13="Per jaar",IF(9=$W13,$C13,0),IF($D13="Per half jaar",IF(MOD(9-$W13,6)=0,$C13,0),IF($D13="Per kwartaal",IF(MOD(9-$W13,3)=0,$C13,0),$F13))))))</f>
        <v/>
      </c>
      <c r="T13" s="107" t="str">
        <f aca="false">IF($C13="","",IF(Dashboard!$C$4="Gemiddeld per maand",$F13,IF(OR($D13="Per maand",$D13="Per week",$D13=""),$F13,IF($D13="Per jaar",IF(10=$W13,$C13,0),IF($D13="Per half jaar",IF(MOD(10-$W13,6)=0,$C13,0),IF($D13="Per kwartaal",IF(MOD(10-$W13,3)=0,$C13,0),$F13))))))</f>
        <v/>
      </c>
      <c r="U13" s="107" t="str">
        <f aca="false">IF($C13="","",IF(Dashboard!$C$4="Gemiddeld per maand",$F13,IF(OR($D13="Per maand",$D13="Per week",$D13=""),$F13,IF($D13="Per jaar",IF(11=$W13,$C13,0),IF($D13="Per half jaar",IF(MOD(11-$W13,6)=0,$C13,0),IF($D13="Per kwartaal",IF(MOD(11-$W13,3)=0,$C13,0),$F13))))))</f>
        <v/>
      </c>
      <c r="V13" s="107" t="str">
        <f aca="false">IF($C13="","",IF(Dashboard!$C$4="Gemiddeld per maand",$F13,IF(OR($D13="Per maand",$D13="Per week",$D13=""),$F13,IF($D13="Per jaar",IF(12=$W13,$C13,0),IF($D13="Per half jaar",IF(MOD(12-$W13,6)=0,$C13,0),IF($D13="Per kwartaal",IF(MOD(12-$W13,3)=0,$C13,0),$F13))))))</f>
        <v/>
      </c>
      <c r="W13" s="15" t="n">
        <f aca="false">IF($E13="",1,IFERROR(MATCH($E13,Lijsten!$K$6:$K$17,0),1))</f>
        <v>1</v>
      </c>
    </row>
    <row r="14" customFormat="false" ht="15" hidden="false" customHeight="false" outlineLevel="0" collapsed="false">
      <c r="A14" s="102"/>
      <c r="B14" s="102"/>
      <c r="C14" s="92"/>
      <c r="D14" s="102"/>
      <c r="E14" s="103"/>
      <c r="F14" s="104" t="str">
        <f aca="false">IF($C14="","",IF($D14="Per jaar",$C14/12,IF($D14="Per kwartaal",$C14/3,IF($D14="Per half jaar",$C14/6,IF($D14="Per week",$C14*52/12,$C14)))))</f>
        <v/>
      </c>
      <c r="G14" s="102"/>
      <c r="H14" s="103"/>
      <c r="I14" s="105"/>
      <c r="J14" s="106" t="str">
        <f aca="false">IF($C14="","",IF(Dashboard!$C$4="Gemiddeld per maand",$F14,IF(OR($D14="Per maand",$D14="Per week",$D14=""),$F14,IF($D14="Per jaar",IF(Dashboard!$N$2=$W14,$C14,0),IF($D14="Per half jaar",IF(MOD(Dashboard!$N$2-$W14,6)=0,$C14,0),IF($D14="Per kwartaal",IF(MOD(Dashboard!$N$2-$W14,3)=0,$C14,0),$F14))))))</f>
        <v/>
      </c>
      <c r="K14" s="107" t="str">
        <f aca="false">IF($C14="","",IF(Dashboard!$C$4="Gemiddeld per maand",$F14,IF(OR($D14="Per maand",$D14="Per week",$D14=""),$F14,IF($D14="Per jaar",IF(1=$W14,$C14,0),IF($D14="Per half jaar",IF(MOD(1-$W14,6)=0,$C14,0),IF($D14="Per kwartaal",IF(MOD(1-$W14,3)=0,$C14,0),$F14))))))</f>
        <v/>
      </c>
      <c r="L14" s="107" t="str">
        <f aca="false">IF($C14="","",IF(Dashboard!$C$4="Gemiddeld per maand",$F14,IF(OR($D14="Per maand",$D14="Per week",$D14=""),$F14,IF($D14="Per jaar",IF(2=$W14,$C14,0),IF($D14="Per half jaar",IF(MOD(2-$W14,6)=0,$C14,0),IF($D14="Per kwartaal",IF(MOD(2-$W14,3)=0,$C14,0),$F14))))))</f>
        <v/>
      </c>
      <c r="M14" s="107" t="str">
        <f aca="false">IF($C14="","",IF(Dashboard!$C$4="Gemiddeld per maand",$F14,IF(OR($D14="Per maand",$D14="Per week",$D14=""),$F14,IF($D14="Per jaar",IF(3=$W14,$C14,0),IF($D14="Per half jaar",IF(MOD(3-$W14,6)=0,$C14,0),IF($D14="Per kwartaal",IF(MOD(3-$W14,3)=0,$C14,0),$F14))))))</f>
        <v/>
      </c>
      <c r="N14" s="107" t="str">
        <f aca="false">IF($C14="","",IF(Dashboard!$C$4="Gemiddeld per maand",$F14,IF(OR($D14="Per maand",$D14="Per week",$D14=""),$F14,IF($D14="Per jaar",IF(4=$W14,$C14,0),IF($D14="Per half jaar",IF(MOD(4-$W14,6)=0,$C14,0),IF($D14="Per kwartaal",IF(MOD(4-$W14,3)=0,$C14,0),$F14))))))</f>
        <v/>
      </c>
      <c r="O14" s="107" t="str">
        <f aca="false">IF($C14="","",IF(Dashboard!$C$4="Gemiddeld per maand",$F14,IF(OR($D14="Per maand",$D14="Per week",$D14=""),$F14,IF($D14="Per jaar",IF(5=$W14,$C14,0),IF($D14="Per half jaar",IF(MOD(5-$W14,6)=0,$C14,0),IF($D14="Per kwartaal",IF(MOD(5-$W14,3)=0,$C14,0),$F14))))))</f>
        <v/>
      </c>
      <c r="P14" s="107" t="str">
        <f aca="false">IF($C14="","",IF(Dashboard!$C$4="Gemiddeld per maand",$F14,IF(OR($D14="Per maand",$D14="Per week",$D14=""),$F14,IF($D14="Per jaar",IF(6=$W14,$C14,0),IF($D14="Per half jaar",IF(MOD(6-$W14,6)=0,$C14,0),IF($D14="Per kwartaal",IF(MOD(6-$W14,3)=0,$C14,0),$F14))))))</f>
        <v/>
      </c>
      <c r="Q14" s="107" t="str">
        <f aca="false">IF($C14="","",IF(Dashboard!$C$4="Gemiddeld per maand",$F14,IF(OR($D14="Per maand",$D14="Per week",$D14=""),$F14,IF($D14="Per jaar",IF(7=$W14,$C14,0),IF($D14="Per half jaar",IF(MOD(7-$W14,6)=0,$C14,0),IF($D14="Per kwartaal",IF(MOD(7-$W14,3)=0,$C14,0),$F14))))))</f>
        <v/>
      </c>
      <c r="R14" s="107" t="str">
        <f aca="false">IF($C14="","",IF(Dashboard!$C$4="Gemiddeld per maand",$F14,IF(OR($D14="Per maand",$D14="Per week",$D14=""),$F14,IF($D14="Per jaar",IF(8=$W14,$C14,0),IF($D14="Per half jaar",IF(MOD(8-$W14,6)=0,$C14,0),IF($D14="Per kwartaal",IF(MOD(8-$W14,3)=0,$C14,0),$F14))))))</f>
        <v/>
      </c>
      <c r="S14" s="107" t="str">
        <f aca="false">IF($C14="","",IF(Dashboard!$C$4="Gemiddeld per maand",$F14,IF(OR($D14="Per maand",$D14="Per week",$D14=""),$F14,IF($D14="Per jaar",IF(9=$W14,$C14,0),IF($D14="Per half jaar",IF(MOD(9-$W14,6)=0,$C14,0),IF($D14="Per kwartaal",IF(MOD(9-$W14,3)=0,$C14,0),$F14))))))</f>
        <v/>
      </c>
      <c r="T14" s="107" t="str">
        <f aca="false">IF($C14="","",IF(Dashboard!$C$4="Gemiddeld per maand",$F14,IF(OR($D14="Per maand",$D14="Per week",$D14=""),$F14,IF($D14="Per jaar",IF(10=$W14,$C14,0),IF($D14="Per half jaar",IF(MOD(10-$W14,6)=0,$C14,0),IF($D14="Per kwartaal",IF(MOD(10-$W14,3)=0,$C14,0),$F14))))))</f>
        <v/>
      </c>
      <c r="U14" s="107" t="str">
        <f aca="false">IF($C14="","",IF(Dashboard!$C$4="Gemiddeld per maand",$F14,IF(OR($D14="Per maand",$D14="Per week",$D14=""),$F14,IF($D14="Per jaar",IF(11=$W14,$C14,0),IF($D14="Per half jaar",IF(MOD(11-$W14,6)=0,$C14,0),IF($D14="Per kwartaal",IF(MOD(11-$W14,3)=0,$C14,0),$F14))))))</f>
        <v/>
      </c>
      <c r="V14" s="107" t="str">
        <f aca="false">IF($C14="","",IF(Dashboard!$C$4="Gemiddeld per maand",$F14,IF(OR($D14="Per maand",$D14="Per week",$D14=""),$F14,IF($D14="Per jaar",IF(12=$W14,$C14,0),IF($D14="Per half jaar",IF(MOD(12-$W14,6)=0,$C14,0),IF($D14="Per kwartaal",IF(MOD(12-$W14,3)=0,$C14,0),$F14))))))</f>
        <v/>
      </c>
      <c r="W14" s="15" t="n">
        <f aca="false">IF($E14="",1,IFERROR(MATCH($E14,Lijsten!$K$6:$K$17,0),1))</f>
        <v>1</v>
      </c>
    </row>
    <row r="15" customFormat="false" ht="15" hidden="false" customHeight="false" outlineLevel="0" collapsed="false">
      <c r="A15" s="102"/>
      <c r="B15" s="102"/>
      <c r="C15" s="92"/>
      <c r="D15" s="102"/>
      <c r="E15" s="103"/>
      <c r="F15" s="104" t="str">
        <f aca="false">IF($C15="","",IF($D15="Per jaar",$C15/12,IF($D15="Per kwartaal",$C15/3,IF($D15="Per half jaar",$C15/6,IF($D15="Per week",$C15*52/12,$C15)))))</f>
        <v/>
      </c>
      <c r="G15" s="102"/>
      <c r="H15" s="103"/>
      <c r="I15" s="105"/>
      <c r="J15" s="106" t="str">
        <f aca="false">IF($C15="","",IF(Dashboard!$C$4="Gemiddeld per maand",$F15,IF(OR($D15="Per maand",$D15="Per week",$D15=""),$F15,IF($D15="Per jaar",IF(Dashboard!$N$2=$W15,$C15,0),IF($D15="Per half jaar",IF(MOD(Dashboard!$N$2-$W15,6)=0,$C15,0),IF($D15="Per kwartaal",IF(MOD(Dashboard!$N$2-$W15,3)=0,$C15,0),$F15))))))</f>
        <v/>
      </c>
      <c r="K15" s="107" t="str">
        <f aca="false">IF($C15="","",IF(Dashboard!$C$4="Gemiddeld per maand",$F15,IF(OR($D15="Per maand",$D15="Per week",$D15=""),$F15,IF($D15="Per jaar",IF(1=$W15,$C15,0),IF($D15="Per half jaar",IF(MOD(1-$W15,6)=0,$C15,0),IF($D15="Per kwartaal",IF(MOD(1-$W15,3)=0,$C15,0),$F15))))))</f>
        <v/>
      </c>
      <c r="L15" s="107" t="str">
        <f aca="false">IF($C15="","",IF(Dashboard!$C$4="Gemiddeld per maand",$F15,IF(OR($D15="Per maand",$D15="Per week",$D15=""),$F15,IF($D15="Per jaar",IF(2=$W15,$C15,0),IF($D15="Per half jaar",IF(MOD(2-$W15,6)=0,$C15,0),IF($D15="Per kwartaal",IF(MOD(2-$W15,3)=0,$C15,0),$F15))))))</f>
        <v/>
      </c>
      <c r="M15" s="107" t="str">
        <f aca="false">IF($C15="","",IF(Dashboard!$C$4="Gemiddeld per maand",$F15,IF(OR($D15="Per maand",$D15="Per week",$D15=""),$F15,IF($D15="Per jaar",IF(3=$W15,$C15,0),IF($D15="Per half jaar",IF(MOD(3-$W15,6)=0,$C15,0),IF($D15="Per kwartaal",IF(MOD(3-$W15,3)=0,$C15,0),$F15))))))</f>
        <v/>
      </c>
      <c r="N15" s="107" t="str">
        <f aca="false">IF($C15="","",IF(Dashboard!$C$4="Gemiddeld per maand",$F15,IF(OR($D15="Per maand",$D15="Per week",$D15=""),$F15,IF($D15="Per jaar",IF(4=$W15,$C15,0),IF($D15="Per half jaar",IF(MOD(4-$W15,6)=0,$C15,0),IF($D15="Per kwartaal",IF(MOD(4-$W15,3)=0,$C15,0),$F15))))))</f>
        <v/>
      </c>
      <c r="O15" s="107" t="str">
        <f aca="false">IF($C15="","",IF(Dashboard!$C$4="Gemiddeld per maand",$F15,IF(OR($D15="Per maand",$D15="Per week",$D15=""),$F15,IF($D15="Per jaar",IF(5=$W15,$C15,0),IF($D15="Per half jaar",IF(MOD(5-$W15,6)=0,$C15,0),IF($D15="Per kwartaal",IF(MOD(5-$W15,3)=0,$C15,0),$F15))))))</f>
        <v/>
      </c>
      <c r="P15" s="107" t="str">
        <f aca="false">IF($C15="","",IF(Dashboard!$C$4="Gemiddeld per maand",$F15,IF(OR($D15="Per maand",$D15="Per week",$D15=""),$F15,IF($D15="Per jaar",IF(6=$W15,$C15,0),IF($D15="Per half jaar",IF(MOD(6-$W15,6)=0,$C15,0),IF($D15="Per kwartaal",IF(MOD(6-$W15,3)=0,$C15,0),$F15))))))</f>
        <v/>
      </c>
      <c r="Q15" s="107" t="str">
        <f aca="false">IF($C15="","",IF(Dashboard!$C$4="Gemiddeld per maand",$F15,IF(OR($D15="Per maand",$D15="Per week",$D15=""),$F15,IF($D15="Per jaar",IF(7=$W15,$C15,0),IF($D15="Per half jaar",IF(MOD(7-$W15,6)=0,$C15,0),IF($D15="Per kwartaal",IF(MOD(7-$W15,3)=0,$C15,0),$F15))))))</f>
        <v/>
      </c>
      <c r="R15" s="107" t="str">
        <f aca="false">IF($C15="","",IF(Dashboard!$C$4="Gemiddeld per maand",$F15,IF(OR($D15="Per maand",$D15="Per week",$D15=""),$F15,IF($D15="Per jaar",IF(8=$W15,$C15,0),IF($D15="Per half jaar",IF(MOD(8-$W15,6)=0,$C15,0),IF($D15="Per kwartaal",IF(MOD(8-$W15,3)=0,$C15,0),$F15))))))</f>
        <v/>
      </c>
      <c r="S15" s="107" t="str">
        <f aca="false">IF($C15="","",IF(Dashboard!$C$4="Gemiddeld per maand",$F15,IF(OR($D15="Per maand",$D15="Per week",$D15=""),$F15,IF($D15="Per jaar",IF(9=$W15,$C15,0),IF($D15="Per half jaar",IF(MOD(9-$W15,6)=0,$C15,0),IF($D15="Per kwartaal",IF(MOD(9-$W15,3)=0,$C15,0),$F15))))))</f>
        <v/>
      </c>
      <c r="T15" s="107" t="str">
        <f aca="false">IF($C15="","",IF(Dashboard!$C$4="Gemiddeld per maand",$F15,IF(OR($D15="Per maand",$D15="Per week",$D15=""),$F15,IF($D15="Per jaar",IF(10=$W15,$C15,0),IF($D15="Per half jaar",IF(MOD(10-$W15,6)=0,$C15,0),IF($D15="Per kwartaal",IF(MOD(10-$W15,3)=0,$C15,0),$F15))))))</f>
        <v/>
      </c>
      <c r="U15" s="107" t="str">
        <f aca="false">IF($C15="","",IF(Dashboard!$C$4="Gemiddeld per maand",$F15,IF(OR($D15="Per maand",$D15="Per week",$D15=""),$F15,IF($D15="Per jaar",IF(11=$W15,$C15,0),IF($D15="Per half jaar",IF(MOD(11-$W15,6)=0,$C15,0),IF($D15="Per kwartaal",IF(MOD(11-$W15,3)=0,$C15,0),$F15))))))</f>
        <v/>
      </c>
      <c r="V15" s="107" t="str">
        <f aca="false">IF($C15="","",IF(Dashboard!$C$4="Gemiddeld per maand",$F15,IF(OR($D15="Per maand",$D15="Per week",$D15=""),$F15,IF($D15="Per jaar",IF(12=$W15,$C15,0),IF($D15="Per half jaar",IF(MOD(12-$W15,6)=0,$C15,0),IF($D15="Per kwartaal",IF(MOD(12-$W15,3)=0,$C15,0),$F15))))))</f>
        <v/>
      </c>
      <c r="W15" s="15" t="n">
        <f aca="false">IF($E15="",1,IFERROR(MATCH($E15,Lijsten!$K$6:$K$17,0),1))</f>
        <v>1</v>
      </c>
    </row>
    <row r="16" customFormat="false" ht="15" hidden="false" customHeight="false" outlineLevel="0" collapsed="false">
      <c r="A16" s="102"/>
      <c r="B16" s="102"/>
      <c r="C16" s="92"/>
      <c r="D16" s="102"/>
      <c r="E16" s="103"/>
      <c r="F16" s="104" t="str">
        <f aca="false">IF($C16="","",IF($D16="Per jaar",$C16/12,IF($D16="Per kwartaal",$C16/3,IF($D16="Per half jaar",$C16/6,IF($D16="Per week",$C16*52/12,$C16)))))</f>
        <v/>
      </c>
      <c r="G16" s="102"/>
      <c r="H16" s="103"/>
      <c r="I16" s="105"/>
      <c r="J16" s="106" t="str">
        <f aca="false">IF($C16="","",IF(Dashboard!$C$4="Gemiddeld per maand",$F16,IF(OR($D16="Per maand",$D16="Per week",$D16=""),$F16,IF($D16="Per jaar",IF(Dashboard!$N$2=$W16,$C16,0),IF($D16="Per half jaar",IF(MOD(Dashboard!$N$2-$W16,6)=0,$C16,0),IF($D16="Per kwartaal",IF(MOD(Dashboard!$N$2-$W16,3)=0,$C16,0),$F16))))))</f>
        <v/>
      </c>
      <c r="K16" s="107" t="str">
        <f aca="false">IF($C16="","",IF(Dashboard!$C$4="Gemiddeld per maand",$F16,IF(OR($D16="Per maand",$D16="Per week",$D16=""),$F16,IF($D16="Per jaar",IF(1=$W16,$C16,0),IF($D16="Per half jaar",IF(MOD(1-$W16,6)=0,$C16,0),IF($D16="Per kwartaal",IF(MOD(1-$W16,3)=0,$C16,0),$F16))))))</f>
        <v/>
      </c>
      <c r="L16" s="107" t="str">
        <f aca="false">IF($C16="","",IF(Dashboard!$C$4="Gemiddeld per maand",$F16,IF(OR($D16="Per maand",$D16="Per week",$D16=""),$F16,IF($D16="Per jaar",IF(2=$W16,$C16,0),IF($D16="Per half jaar",IF(MOD(2-$W16,6)=0,$C16,0),IF($D16="Per kwartaal",IF(MOD(2-$W16,3)=0,$C16,0),$F16))))))</f>
        <v/>
      </c>
      <c r="M16" s="107" t="str">
        <f aca="false">IF($C16="","",IF(Dashboard!$C$4="Gemiddeld per maand",$F16,IF(OR($D16="Per maand",$D16="Per week",$D16=""),$F16,IF($D16="Per jaar",IF(3=$W16,$C16,0),IF($D16="Per half jaar",IF(MOD(3-$W16,6)=0,$C16,0),IF($D16="Per kwartaal",IF(MOD(3-$W16,3)=0,$C16,0),$F16))))))</f>
        <v/>
      </c>
      <c r="N16" s="107" t="str">
        <f aca="false">IF($C16="","",IF(Dashboard!$C$4="Gemiddeld per maand",$F16,IF(OR($D16="Per maand",$D16="Per week",$D16=""),$F16,IF($D16="Per jaar",IF(4=$W16,$C16,0),IF($D16="Per half jaar",IF(MOD(4-$W16,6)=0,$C16,0),IF($D16="Per kwartaal",IF(MOD(4-$W16,3)=0,$C16,0),$F16))))))</f>
        <v/>
      </c>
      <c r="O16" s="107" t="str">
        <f aca="false">IF($C16="","",IF(Dashboard!$C$4="Gemiddeld per maand",$F16,IF(OR($D16="Per maand",$D16="Per week",$D16=""),$F16,IF($D16="Per jaar",IF(5=$W16,$C16,0),IF($D16="Per half jaar",IF(MOD(5-$W16,6)=0,$C16,0),IF($D16="Per kwartaal",IF(MOD(5-$W16,3)=0,$C16,0),$F16))))))</f>
        <v/>
      </c>
      <c r="P16" s="107" t="str">
        <f aca="false">IF($C16="","",IF(Dashboard!$C$4="Gemiddeld per maand",$F16,IF(OR($D16="Per maand",$D16="Per week",$D16=""),$F16,IF($D16="Per jaar",IF(6=$W16,$C16,0),IF($D16="Per half jaar",IF(MOD(6-$W16,6)=0,$C16,0),IF($D16="Per kwartaal",IF(MOD(6-$W16,3)=0,$C16,0),$F16))))))</f>
        <v/>
      </c>
      <c r="Q16" s="107" t="str">
        <f aca="false">IF($C16="","",IF(Dashboard!$C$4="Gemiddeld per maand",$F16,IF(OR($D16="Per maand",$D16="Per week",$D16=""),$F16,IF($D16="Per jaar",IF(7=$W16,$C16,0),IF($D16="Per half jaar",IF(MOD(7-$W16,6)=0,$C16,0),IF($D16="Per kwartaal",IF(MOD(7-$W16,3)=0,$C16,0),$F16))))))</f>
        <v/>
      </c>
      <c r="R16" s="107" t="str">
        <f aca="false">IF($C16="","",IF(Dashboard!$C$4="Gemiddeld per maand",$F16,IF(OR($D16="Per maand",$D16="Per week",$D16=""),$F16,IF($D16="Per jaar",IF(8=$W16,$C16,0),IF($D16="Per half jaar",IF(MOD(8-$W16,6)=0,$C16,0),IF($D16="Per kwartaal",IF(MOD(8-$W16,3)=0,$C16,0),$F16))))))</f>
        <v/>
      </c>
      <c r="S16" s="107" t="str">
        <f aca="false">IF($C16="","",IF(Dashboard!$C$4="Gemiddeld per maand",$F16,IF(OR($D16="Per maand",$D16="Per week",$D16=""),$F16,IF($D16="Per jaar",IF(9=$W16,$C16,0),IF($D16="Per half jaar",IF(MOD(9-$W16,6)=0,$C16,0),IF($D16="Per kwartaal",IF(MOD(9-$W16,3)=0,$C16,0),$F16))))))</f>
        <v/>
      </c>
      <c r="T16" s="107" t="str">
        <f aca="false">IF($C16="","",IF(Dashboard!$C$4="Gemiddeld per maand",$F16,IF(OR($D16="Per maand",$D16="Per week",$D16=""),$F16,IF($D16="Per jaar",IF(10=$W16,$C16,0),IF($D16="Per half jaar",IF(MOD(10-$W16,6)=0,$C16,0),IF($D16="Per kwartaal",IF(MOD(10-$W16,3)=0,$C16,0),$F16))))))</f>
        <v/>
      </c>
      <c r="U16" s="107" t="str">
        <f aca="false">IF($C16="","",IF(Dashboard!$C$4="Gemiddeld per maand",$F16,IF(OR($D16="Per maand",$D16="Per week",$D16=""),$F16,IF($D16="Per jaar",IF(11=$W16,$C16,0),IF($D16="Per half jaar",IF(MOD(11-$W16,6)=0,$C16,0),IF($D16="Per kwartaal",IF(MOD(11-$W16,3)=0,$C16,0),$F16))))))</f>
        <v/>
      </c>
      <c r="V16" s="107" t="str">
        <f aca="false">IF($C16="","",IF(Dashboard!$C$4="Gemiddeld per maand",$F16,IF(OR($D16="Per maand",$D16="Per week",$D16=""),$F16,IF($D16="Per jaar",IF(12=$W16,$C16,0),IF($D16="Per half jaar",IF(MOD(12-$W16,6)=0,$C16,0),IF($D16="Per kwartaal",IF(MOD(12-$W16,3)=0,$C16,0),$F16))))))</f>
        <v/>
      </c>
      <c r="W16" s="15" t="n">
        <f aca="false">IF($E16="",1,IFERROR(MATCH($E16,Lijsten!$K$6:$K$17,0),1))</f>
        <v>1</v>
      </c>
    </row>
    <row r="17" customFormat="false" ht="15" hidden="false" customHeight="false" outlineLevel="0" collapsed="false">
      <c r="A17" s="102"/>
      <c r="B17" s="102"/>
      <c r="C17" s="92"/>
      <c r="D17" s="102"/>
      <c r="E17" s="103"/>
      <c r="F17" s="104" t="str">
        <f aca="false">IF($C17="","",IF($D17="Per jaar",$C17/12,IF($D17="Per kwartaal",$C17/3,IF($D17="Per half jaar",$C17/6,IF($D17="Per week",$C17*52/12,$C17)))))</f>
        <v/>
      </c>
      <c r="G17" s="102"/>
      <c r="H17" s="103"/>
      <c r="I17" s="105"/>
      <c r="J17" s="106" t="str">
        <f aca="false">IF($C17="","",IF(Dashboard!$C$4="Gemiddeld per maand",$F17,IF(OR($D17="Per maand",$D17="Per week",$D17=""),$F17,IF($D17="Per jaar",IF(Dashboard!$N$2=$W17,$C17,0),IF($D17="Per half jaar",IF(MOD(Dashboard!$N$2-$W17,6)=0,$C17,0),IF($D17="Per kwartaal",IF(MOD(Dashboard!$N$2-$W17,3)=0,$C17,0),$F17))))))</f>
        <v/>
      </c>
      <c r="K17" s="107" t="str">
        <f aca="false">IF($C17="","",IF(Dashboard!$C$4="Gemiddeld per maand",$F17,IF(OR($D17="Per maand",$D17="Per week",$D17=""),$F17,IF($D17="Per jaar",IF(1=$W17,$C17,0),IF($D17="Per half jaar",IF(MOD(1-$W17,6)=0,$C17,0),IF($D17="Per kwartaal",IF(MOD(1-$W17,3)=0,$C17,0),$F17))))))</f>
        <v/>
      </c>
      <c r="L17" s="107" t="str">
        <f aca="false">IF($C17="","",IF(Dashboard!$C$4="Gemiddeld per maand",$F17,IF(OR($D17="Per maand",$D17="Per week",$D17=""),$F17,IF($D17="Per jaar",IF(2=$W17,$C17,0),IF($D17="Per half jaar",IF(MOD(2-$W17,6)=0,$C17,0),IF($D17="Per kwartaal",IF(MOD(2-$W17,3)=0,$C17,0),$F17))))))</f>
        <v/>
      </c>
      <c r="M17" s="107" t="str">
        <f aca="false">IF($C17="","",IF(Dashboard!$C$4="Gemiddeld per maand",$F17,IF(OR($D17="Per maand",$D17="Per week",$D17=""),$F17,IF($D17="Per jaar",IF(3=$W17,$C17,0),IF($D17="Per half jaar",IF(MOD(3-$W17,6)=0,$C17,0),IF($D17="Per kwartaal",IF(MOD(3-$W17,3)=0,$C17,0),$F17))))))</f>
        <v/>
      </c>
      <c r="N17" s="107" t="str">
        <f aca="false">IF($C17="","",IF(Dashboard!$C$4="Gemiddeld per maand",$F17,IF(OR($D17="Per maand",$D17="Per week",$D17=""),$F17,IF($D17="Per jaar",IF(4=$W17,$C17,0),IF($D17="Per half jaar",IF(MOD(4-$W17,6)=0,$C17,0),IF($D17="Per kwartaal",IF(MOD(4-$W17,3)=0,$C17,0),$F17))))))</f>
        <v/>
      </c>
      <c r="O17" s="107" t="str">
        <f aca="false">IF($C17="","",IF(Dashboard!$C$4="Gemiddeld per maand",$F17,IF(OR($D17="Per maand",$D17="Per week",$D17=""),$F17,IF($D17="Per jaar",IF(5=$W17,$C17,0),IF($D17="Per half jaar",IF(MOD(5-$W17,6)=0,$C17,0),IF($D17="Per kwartaal",IF(MOD(5-$W17,3)=0,$C17,0),$F17))))))</f>
        <v/>
      </c>
      <c r="P17" s="107" t="str">
        <f aca="false">IF($C17="","",IF(Dashboard!$C$4="Gemiddeld per maand",$F17,IF(OR($D17="Per maand",$D17="Per week",$D17=""),$F17,IF($D17="Per jaar",IF(6=$W17,$C17,0),IF($D17="Per half jaar",IF(MOD(6-$W17,6)=0,$C17,0),IF($D17="Per kwartaal",IF(MOD(6-$W17,3)=0,$C17,0),$F17))))))</f>
        <v/>
      </c>
      <c r="Q17" s="107" t="str">
        <f aca="false">IF($C17="","",IF(Dashboard!$C$4="Gemiddeld per maand",$F17,IF(OR($D17="Per maand",$D17="Per week",$D17=""),$F17,IF($D17="Per jaar",IF(7=$W17,$C17,0),IF($D17="Per half jaar",IF(MOD(7-$W17,6)=0,$C17,0),IF($D17="Per kwartaal",IF(MOD(7-$W17,3)=0,$C17,0),$F17))))))</f>
        <v/>
      </c>
      <c r="R17" s="107" t="str">
        <f aca="false">IF($C17="","",IF(Dashboard!$C$4="Gemiddeld per maand",$F17,IF(OR($D17="Per maand",$D17="Per week",$D17=""),$F17,IF($D17="Per jaar",IF(8=$W17,$C17,0),IF($D17="Per half jaar",IF(MOD(8-$W17,6)=0,$C17,0),IF($D17="Per kwartaal",IF(MOD(8-$W17,3)=0,$C17,0),$F17))))))</f>
        <v/>
      </c>
      <c r="S17" s="107" t="str">
        <f aca="false">IF($C17="","",IF(Dashboard!$C$4="Gemiddeld per maand",$F17,IF(OR($D17="Per maand",$D17="Per week",$D17=""),$F17,IF($D17="Per jaar",IF(9=$W17,$C17,0),IF($D17="Per half jaar",IF(MOD(9-$W17,6)=0,$C17,0),IF($D17="Per kwartaal",IF(MOD(9-$W17,3)=0,$C17,0),$F17))))))</f>
        <v/>
      </c>
      <c r="T17" s="107" t="str">
        <f aca="false">IF($C17="","",IF(Dashboard!$C$4="Gemiddeld per maand",$F17,IF(OR($D17="Per maand",$D17="Per week",$D17=""),$F17,IF($D17="Per jaar",IF(10=$W17,$C17,0),IF($D17="Per half jaar",IF(MOD(10-$W17,6)=0,$C17,0),IF($D17="Per kwartaal",IF(MOD(10-$W17,3)=0,$C17,0),$F17))))))</f>
        <v/>
      </c>
      <c r="U17" s="107" t="str">
        <f aca="false">IF($C17="","",IF(Dashboard!$C$4="Gemiddeld per maand",$F17,IF(OR($D17="Per maand",$D17="Per week",$D17=""),$F17,IF($D17="Per jaar",IF(11=$W17,$C17,0),IF($D17="Per half jaar",IF(MOD(11-$W17,6)=0,$C17,0),IF($D17="Per kwartaal",IF(MOD(11-$W17,3)=0,$C17,0),$F17))))))</f>
        <v/>
      </c>
      <c r="V17" s="107" t="str">
        <f aca="false">IF($C17="","",IF(Dashboard!$C$4="Gemiddeld per maand",$F17,IF(OR($D17="Per maand",$D17="Per week",$D17=""),$F17,IF($D17="Per jaar",IF(12=$W17,$C17,0),IF($D17="Per half jaar",IF(MOD(12-$W17,6)=0,$C17,0),IF($D17="Per kwartaal",IF(MOD(12-$W17,3)=0,$C17,0),$F17))))))</f>
        <v/>
      </c>
      <c r="W17" s="15" t="n">
        <f aca="false">IF($E17="",1,IFERROR(MATCH($E17,Lijsten!$K$6:$K$17,0),1))</f>
        <v>1</v>
      </c>
    </row>
    <row r="18" customFormat="false" ht="15" hidden="false" customHeight="false" outlineLevel="0" collapsed="false">
      <c r="A18" s="102"/>
      <c r="B18" s="102"/>
      <c r="C18" s="92"/>
      <c r="D18" s="102"/>
      <c r="E18" s="103"/>
      <c r="F18" s="104" t="str">
        <f aca="false">IF($C18="","",IF($D18="Per jaar",$C18/12,IF($D18="Per kwartaal",$C18/3,IF($D18="Per half jaar",$C18/6,IF($D18="Per week",$C18*52/12,$C18)))))</f>
        <v/>
      </c>
      <c r="G18" s="102"/>
      <c r="H18" s="103"/>
      <c r="I18" s="105"/>
      <c r="J18" s="106" t="str">
        <f aca="false">IF($C18="","",IF(Dashboard!$C$4="Gemiddeld per maand",$F18,IF(OR($D18="Per maand",$D18="Per week",$D18=""),$F18,IF($D18="Per jaar",IF(Dashboard!$N$2=$W18,$C18,0),IF($D18="Per half jaar",IF(MOD(Dashboard!$N$2-$W18,6)=0,$C18,0),IF($D18="Per kwartaal",IF(MOD(Dashboard!$N$2-$W18,3)=0,$C18,0),$F18))))))</f>
        <v/>
      </c>
      <c r="K18" s="107" t="str">
        <f aca="false">IF($C18="","",IF(Dashboard!$C$4="Gemiddeld per maand",$F18,IF(OR($D18="Per maand",$D18="Per week",$D18=""),$F18,IF($D18="Per jaar",IF(1=$W18,$C18,0),IF($D18="Per half jaar",IF(MOD(1-$W18,6)=0,$C18,0),IF($D18="Per kwartaal",IF(MOD(1-$W18,3)=0,$C18,0),$F18))))))</f>
        <v/>
      </c>
      <c r="L18" s="107" t="str">
        <f aca="false">IF($C18="","",IF(Dashboard!$C$4="Gemiddeld per maand",$F18,IF(OR($D18="Per maand",$D18="Per week",$D18=""),$F18,IF($D18="Per jaar",IF(2=$W18,$C18,0),IF($D18="Per half jaar",IF(MOD(2-$W18,6)=0,$C18,0),IF($D18="Per kwartaal",IF(MOD(2-$W18,3)=0,$C18,0),$F18))))))</f>
        <v/>
      </c>
      <c r="M18" s="107" t="str">
        <f aca="false">IF($C18="","",IF(Dashboard!$C$4="Gemiddeld per maand",$F18,IF(OR($D18="Per maand",$D18="Per week",$D18=""),$F18,IF($D18="Per jaar",IF(3=$W18,$C18,0),IF($D18="Per half jaar",IF(MOD(3-$W18,6)=0,$C18,0),IF($D18="Per kwartaal",IF(MOD(3-$W18,3)=0,$C18,0),$F18))))))</f>
        <v/>
      </c>
      <c r="N18" s="107" t="str">
        <f aca="false">IF($C18="","",IF(Dashboard!$C$4="Gemiddeld per maand",$F18,IF(OR($D18="Per maand",$D18="Per week",$D18=""),$F18,IF($D18="Per jaar",IF(4=$W18,$C18,0),IF($D18="Per half jaar",IF(MOD(4-$W18,6)=0,$C18,0),IF($D18="Per kwartaal",IF(MOD(4-$W18,3)=0,$C18,0),$F18))))))</f>
        <v/>
      </c>
      <c r="O18" s="107" t="str">
        <f aca="false">IF($C18="","",IF(Dashboard!$C$4="Gemiddeld per maand",$F18,IF(OR($D18="Per maand",$D18="Per week",$D18=""),$F18,IF($D18="Per jaar",IF(5=$W18,$C18,0),IF($D18="Per half jaar",IF(MOD(5-$W18,6)=0,$C18,0),IF($D18="Per kwartaal",IF(MOD(5-$W18,3)=0,$C18,0),$F18))))))</f>
        <v/>
      </c>
      <c r="P18" s="107" t="str">
        <f aca="false">IF($C18="","",IF(Dashboard!$C$4="Gemiddeld per maand",$F18,IF(OR($D18="Per maand",$D18="Per week",$D18=""),$F18,IF($D18="Per jaar",IF(6=$W18,$C18,0),IF($D18="Per half jaar",IF(MOD(6-$W18,6)=0,$C18,0),IF($D18="Per kwartaal",IF(MOD(6-$W18,3)=0,$C18,0),$F18))))))</f>
        <v/>
      </c>
      <c r="Q18" s="107" t="str">
        <f aca="false">IF($C18="","",IF(Dashboard!$C$4="Gemiddeld per maand",$F18,IF(OR($D18="Per maand",$D18="Per week",$D18=""),$F18,IF($D18="Per jaar",IF(7=$W18,$C18,0),IF($D18="Per half jaar",IF(MOD(7-$W18,6)=0,$C18,0),IF($D18="Per kwartaal",IF(MOD(7-$W18,3)=0,$C18,0),$F18))))))</f>
        <v/>
      </c>
      <c r="R18" s="107" t="str">
        <f aca="false">IF($C18="","",IF(Dashboard!$C$4="Gemiddeld per maand",$F18,IF(OR($D18="Per maand",$D18="Per week",$D18=""),$F18,IF($D18="Per jaar",IF(8=$W18,$C18,0),IF($D18="Per half jaar",IF(MOD(8-$W18,6)=0,$C18,0),IF($D18="Per kwartaal",IF(MOD(8-$W18,3)=0,$C18,0),$F18))))))</f>
        <v/>
      </c>
      <c r="S18" s="107" t="str">
        <f aca="false">IF($C18="","",IF(Dashboard!$C$4="Gemiddeld per maand",$F18,IF(OR($D18="Per maand",$D18="Per week",$D18=""),$F18,IF($D18="Per jaar",IF(9=$W18,$C18,0),IF($D18="Per half jaar",IF(MOD(9-$W18,6)=0,$C18,0),IF($D18="Per kwartaal",IF(MOD(9-$W18,3)=0,$C18,0),$F18))))))</f>
        <v/>
      </c>
      <c r="T18" s="107" t="str">
        <f aca="false">IF($C18="","",IF(Dashboard!$C$4="Gemiddeld per maand",$F18,IF(OR($D18="Per maand",$D18="Per week",$D18=""),$F18,IF($D18="Per jaar",IF(10=$W18,$C18,0),IF($D18="Per half jaar",IF(MOD(10-$W18,6)=0,$C18,0),IF($D18="Per kwartaal",IF(MOD(10-$W18,3)=0,$C18,0),$F18))))))</f>
        <v/>
      </c>
      <c r="U18" s="107" t="str">
        <f aca="false">IF($C18="","",IF(Dashboard!$C$4="Gemiddeld per maand",$F18,IF(OR($D18="Per maand",$D18="Per week",$D18=""),$F18,IF($D18="Per jaar",IF(11=$W18,$C18,0),IF($D18="Per half jaar",IF(MOD(11-$W18,6)=0,$C18,0),IF($D18="Per kwartaal",IF(MOD(11-$W18,3)=0,$C18,0),$F18))))))</f>
        <v/>
      </c>
      <c r="V18" s="107" t="str">
        <f aca="false">IF($C18="","",IF(Dashboard!$C$4="Gemiddeld per maand",$F18,IF(OR($D18="Per maand",$D18="Per week",$D18=""),$F18,IF($D18="Per jaar",IF(12=$W18,$C18,0),IF($D18="Per half jaar",IF(MOD(12-$W18,6)=0,$C18,0),IF($D18="Per kwartaal",IF(MOD(12-$W18,3)=0,$C18,0),$F18))))))</f>
        <v/>
      </c>
      <c r="W18" s="15" t="n">
        <f aca="false">IF($E18="",1,IFERROR(MATCH($E18,Lijsten!$K$6:$K$17,0),1))</f>
        <v>1</v>
      </c>
    </row>
    <row r="19" customFormat="false" ht="15" hidden="false" customHeight="false" outlineLevel="0" collapsed="false">
      <c r="A19" s="102"/>
      <c r="B19" s="102"/>
      <c r="C19" s="92"/>
      <c r="D19" s="102"/>
      <c r="E19" s="103"/>
      <c r="F19" s="104" t="str">
        <f aca="false">IF($C19="","",IF($D19="Per jaar",$C19/12,IF($D19="Per kwartaal",$C19/3,IF($D19="Per half jaar",$C19/6,IF($D19="Per week",$C19*52/12,$C19)))))</f>
        <v/>
      </c>
      <c r="G19" s="102"/>
      <c r="H19" s="103"/>
      <c r="I19" s="105"/>
      <c r="J19" s="106" t="str">
        <f aca="false">IF($C19="","",IF(Dashboard!$C$4="Gemiddeld per maand",$F19,IF(OR($D19="Per maand",$D19="Per week",$D19=""),$F19,IF($D19="Per jaar",IF(Dashboard!$N$2=$W19,$C19,0),IF($D19="Per half jaar",IF(MOD(Dashboard!$N$2-$W19,6)=0,$C19,0),IF($D19="Per kwartaal",IF(MOD(Dashboard!$N$2-$W19,3)=0,$C19,0),$F19))))))</f>
        <v/>
      </c>
      <c r="K19" s="107" t="str">
        <f aca="false">IF($C19="","",IF(Dashboard!$C$4="Gemiddeld per maand",$F19,IF(OR($D19="Per maand",$D19="Per week",$D19=""),$F19,IF($D19="Per jaar",IF(1=$W19,$C19,0),IF($D19="Per half jaar",IF(MOD(1-$W19,6)=0,$C19,0),IF($D19="Per kwartaal",IF(MOD(1-$W19,3)=0,$C19,0),$F19))))))</f>
        <v/>
      </c>
      <c r="L19" s="107" t="str">
        <f aca="false">IF($C19="","",IF(Dashboard!$C$4="Gemiddeld per maand",$F19,IF(OR($D19="Per maand",$D19="Per week",$D19=""),$F19,IF($D19="Per jaar",IF(2=$W19,$C19,0),IF($D19="Per half jaar",IF(MOD(2-$W19,6)=0,$C19,0),IF($D19="Per kwartaal",IF(MOD(2-$W19,3)=0,$C19,0),$F19))))))</f>
        <v/>
      </c>
      <c r="M19" s="107" t="str">
        <f aca="false">IF($C19="","",IF(Dashboard!$C$4="Gemiddeld per maand",$F19,IF(OR($D19="Per maand",$D19="Per week",$D19=""),$F19,IF($D19="Per jaar",IF(3=$W19,$C19,0),IF($D19="Per half jaar",IF(MOD(3-$W19,6)=0,$C19,0),IF($D19="Per kwartaal",IF(MOD(3-$W19,3)=0,$C19,0),$F19))))))</f>
        <v/>
      </c>
      <c r="N19" s="107" t="str">
        <f aca="false">IF($C19="","",IF(Dashboard!$C$4="Gemiddeld per maand",$F19,IF(OR($D19="Per maand",$D19="Per week",$D19=""),$F19,IF($D19="Per jaar",IF(4=$W19,$C19,0),IF($D19="Per half jaar",IF(MOD(4-$W19,6)=0,$C19,0),IF($D19="Per kwartaal",IF(MOD(4-$W19,3)=0,$C19,0),$F19))))))</f>
        <v/>
      </c>
      <c r="O19" s="107" t="str">
        <f aca="false">IF($C19="","",IF(Dashboard!$C$4="Gemiddeld per maand",$F19,IF(OR($D19="Per maand",$D19="Per week",$D19=""),$F19,IF($D19="Per jaar",IF(5=$W19,$C19,0),IF($D19="Per half jaar",IF(MOD(5-$W19,6)=0,$C19,0),IF($D19="Per kwartaal",IF(MOD(5-$W19,3)=0,$C19,0),$F19))))))</f>
        <v/>
      </c>
      <c r="P19" s="107" t="str">
        <f aca="false">IF($C19="","",IF(Dashboard!$C$4="Gemiddeld per maand",$F19,IF(OR($D19="Per maand",$D19="Per week",$D19=""),$F19,IF($D19="Per jaar",IF(6=$W19,$C19,0),IF($D19="Per half jaar",IF(MOD(6-$W19,6)=0,$C19,0),IF($D19="Per kwartaal",IF(MOD(6-$W19,3)=0,$C19,0),$F19))))))</f>
        <v/>
      </c>
      <c r="Q19" s="107" t="str">
        <f aca="false">IF($C19="","",IF(Dashboard!$C$4="Gemiddeld per maand",$F19,IF(OR($D19="Per maand",$D19="Per week",$D19=""),$F19,IF($D19="Per jaar",IF(7=$W19,$C19,0),IF($D19="Per half jaar",IF(MOD(7-$W19,6)=0,$C19,0),IF($D19="Per kwartaal",IF(MOD(7-$W19,3)=0,$C19,0),$F19))))))</f>
        <v/>
      </c>
      <c r="R19" s="107" t="str">
        <f aca="false">IF($C19="","",IF(Dashboard!$C$4="Gemiddeld per maand",$F19,IF(OR($D19="Per maand",$D19="Per week",$D19=""),$F19,IF($D19="Per jaar",IF(8=$W19,$C19,0),IF($D19="Per half jaar",IF(MOD(8-$W19,6)=0,$C19,0),IF($D19="Per kwartaal",IF(MOD(8-$W19,3)=0,$C19,0),$F19))))))</f>
        <v/>
      </c>
      <c r="S19" s="107" t="str">
        <f aca="false">IF($C19="","",IF(Dashboard!$C$4="Gemiddeld per maand",$F19,IF(OR($D19="Per maand",$D19="Per week",$D19=""),$F19,IF($D19="Per jaar",IF(9=$W19,$C19,0),IF($D19="Per half jaar",IF(MOD(9-$W19,6)=0,$C19,0),IF($D19="Per kwartaal",IF(MOD(9-$W19,3)=0,$C19,0),$F19))))))</f>
        <v/>
      </c>
      <c r="T19" s="107" t="str">
        <f aca="false">IF($C19="","",IF(Dashboard!$C$4="Gemiddeld per maand",$F19,IF(OR($D19="Per maand",$D19="Per week",$D19=""),$F19,IF($D19="Per jaar",IF(10=$W19,$C19,0),IF($D19="Per half jaar",IF(MOD(10-$W19,6)=0,$C19,0),IF($D19="Per kwartaal",IF(MOD(10-$W19,3)=0,$C19,0),$F19))))))</f>
        <v/>
      </c>
      <c r="U19" s="107" t="str">
        <f aca="false">IF($C19="","",IF(Dashboard!$C$4="Gemiddeld per maand",$F19,IF(OR($D19="Per maand",$D19="Per week",$D19=""),$F19,IF($D19="Per jaar",IF(11=$W19,$C19,0),IF($D19="Per half jaar",IF(MOD(11-$W19,6)=0,$C19,0),IF($D19="Per kwartaal",IF(MOD(11-$W19,3)=0,$C19,0),$F19))))))</f>
        <v/>
      </c>
      <c r="V19" s="107" t="str">
        <f aca="false">IF($C19="","",IF(Dashboard!$C$4="Gemiddeld per maand",$F19,IF(OR($D19="Per maand",$D19="Per week",$D19=""),$F19,IF($D19="Per jaar",IF(12=$W19,$C19,0),IF($D19="Per half jaar",IF(MOD(12-$W19,6)=0,$C19,0),IF($D19="Per kwartaal",IF(MOD(12-$W19,3)=0,$C19,0),$F19))))))</f>
        <v/>
      </c>
      <c r="W19" s="15" t="n">
        <f aca="false">IF($E19="",1,IFERROR(MATCH($E19,Lijsten!$K$6:$K$17,0),1))</f>
        <v>1</v>
      </c>
    </row>
    <row r="20" customFormat="false" ht="15" hidden="false" customHeight="false" outlineLevel="0" collapsed="false">
      <c r="A20" s="102"/>
      <c r="B20" s="102"/>
      <c r="C20" s="92"/>
      <c r="D20" s="102"/>
      <c r="E20" s="103"/>
      <c r="F20" s="104" t="str">
        <f aca="false">IF($C20="","",IF($D20="Per jaar",$C20/12,IF($D20="Per kwartaal",$C20/3,IF($D20="Per half jaar",$C20/6,IF($D20="Per week",$C20*52/12,$C20)))))</f>
        <v/>
      </c>
      <c r="G20" s="102"/>
      <c r="H20" s="103"/>
      <c r="I20" s="105"/>
      <c r="J20" s="106" t="str">
        <f aca="false">IF($C20="","",IF(Dashboard!$C$4="Gemiddeld per maand",$F20,IF(OR($D20="Per maand",$D20="Per week",$D20=""),$F20,IF($D20="Per jaar",IF(Dashboard!$N$2=$W20,$C20,0),IF($D20="Per half jaar",IF(MOD(Dashboard!$N$2-$W20,6)=0,$C20,0),IF($D20="Per kwartaal",IF(MOD(Dashboard!$N$2-$W20,3)=0,$C20,0),$F20))))))</f>
        <v/>
      </c>
      <c r="K20" s="107" t="str">
        <f aca="false">IF($C20="","",IF(Dashboard!$C$4="Gemiddeld per maand",$F20,IF(OR($D20="Per maand",$D20="Per week",$D20=""),$F20,IF($D20="Per jaar",IF(1=$W20,$C20,0),IF($D20="Per half jaar",IF(MOD(1-$W20,6)=0,$C20,0),IF($D20="Per kwartaal",IF(MOD(1-$W20,3)=0,$C20,0),$F20))))))</f>
        <v/>
      </c>
      <c r="L20" s="107" t="str">
        <f aca="false">IF($C20="","",IF(Dashboard!$C$4="Gemiddeld per maand",$F20,IF(OR($D20="Per maand",$D20="Per week",$D20=""),$F20,IF($D20="Per jaar",IF(2=$W20,$C20,0),IF($D20="Per half jaar",IF(MOD(2-$W20,6)=0,$C20,0),IF($D20="Per kwartaal",IF(MOD(2-$W20,3)=0,$C20,0),$F20))))))</f>
        <v/>
      </c>
      <c r="M20" s="107" t="str">
        <f aca="false">IF($C20="","",IF(Dashboard!$C$4="Gemiddeld per maand",$F20,IF(OR($D20="Per maand",$D20="Per week",$D20=""),$F20,IF($D20="Per jaar",IF(3=$W20,$C20,0),IF($D20="Per half jaar",IF(MOD(3-$W20,6)=0,$C20,0),IF($D20="Per kwartaal",IF(MOD(3-$W20,3)=0,$C20,0),$F20))))))</f>
        <v/>
      </c>
      <c r="N20" s="107" t="str">
        <f aca="false">IF($C20="","",IF(Dashboard!$C$4="Gemiddeld per maand",$F20,IF(OR($D20="Per maand",$D20="Per week",$D20=""),$F20,IF($D20="Per jaar",IF(4=$W20,$C20,0),IF($D20="Per half jaar",IF(MOD(4-$W20,6)=0,$C20,0),IF($D20="Per kwartaal",IF(MOD(4-$W20,3)=0,$C20,0),$F20))))))</f>
        <v/>
      </c>
      <c r="O20" s="107" t="str">
        <f aca="false">IF($C20="","",IF(Dashboard!$C$4="Gemiddeld per maand",$F20,IF(OR($D20="Per maand",$D20="Per week",$D20=""),$F20,IF($D20="Per jaar",IF(5=$W20,$C20,0),IF($D20="Per half jaar",IF(MOD(5-$W20,6)=0,$C20,0),IF($D20="Per kwartaal",IF(MOD(5-$W20,3)=0,$C20,0),$F20))))))</f>
        <v/>
      </c>
      <c r="P20" s="107" t="str">
        <f aca="false">IF($C20="","",IF(Dashboard!$C$4="Gemiddeld per maand",$F20,IF(OR($D20="Per maand",$D20="Per week",$D20=""),$F20,IF($D20="Per jaar",IF(6=$W20,$C20,0),IF($D20="Per half jaar",IF(MOD(6-$W20,6)=0,$C20,0),IF($D20="Per kwartaal",IF(MOD(6-$W20,3)=0,$C20,0),$F20))))))</f>
        <v/>
      </c>
      <c r="Q20" s="107" t="str">
        <f aca="false">IF($C20="","",IF(Dashboard!$C$4="Gemiddeld per maand",$F20,IF(OR($D20="Per maand",$D20="Per week",$D20=""),$F20,IF($D20="Per jaar",IF(7=$W20,$C20,0),IF($D20="Per half jaar",IF(MOD(7-$W20,6)=0,$C20,0),IF($D20="Per kwartaal",IF(MOD(7-$W20,3)=0,$C20,0),$F20))))))</f>
        <v/>
      </c>
      <c r="R20" s="107" t="str">
        <f aca="false">IF($C20="","",IF(Dashboard!$C$4="Gemiddeld per maand",$F20,IF(OR($D20="Per maand",$D20="Per week",$D20=""),$F20,IF($D20="Per jaar",IF(8=$W20,$C20,0),IF($D20="Per half jaar",IF(MOD(8-$W20,6)=0,$C20,0),IF($D20="Per kwartaal",IF(MOD(8-$W20,3)=0,$C20,0),$F20))))))</f>
        <v/>
      </c>
      <c r="S20" s="107" t="str">
        <f aca="false">IF($C20="","",IF(Dashboard!$C$4="Gemiddeld per maand",$F20,IF(OR($D20="Per maand",$D20="Per week",$D20=""),$F20,IF($D20="Per jaar",IF(9=$W20,$C20,0),IF($D20="Per half jaar",IF(MOD(9-$W20,6)=0,$C20,0),IF($D20="Per kwartaal",IF(MOD(9-$W20,3)=0,$C20,0),$F20))))))</f>
        <v/>
      </c>
      <c r="T20" s="107" t="str">
        <f aca="false">IF($C20="","",IF(Dashboard!$C$4="Gemiddeld per maand",$F20,IF(OR($D20="Per maand",$D20="Per week",$D20=""),$F20,IF($D20="Per jaar",IF(10=$W20,$C20,0),IF($D20="Per half jaar",IF(MOD(10-$W20,6)=0,$C20,0),IF($D20="Per kwartaal",IF(MOD(10-$W20,3)=0,$C20,0),$F20))))))</f>
        <v/>
      </c>
      <c r="U20" s="107" t="str">
        <f aca="false">IF($C20="","",IF(Dashboard!$C$4="Gemiddeld per maand",$F20,IF(OR($D20="Per maand",$D20="Per week",$D20=""),$F20,IF($D20="Per jaar",IF(11=$W20,$C20,0),IF($D20="Per half jaar",IF(MOD(11-$W20,6)=0,$C20,0),IF($D20="Per kwartaal",IF(MOD(11-$W20,3)=0,$C20,0),$F20))))))</f>
        <v/>
      </c>
      <c r="V20" s="107" t="str">
        <f aca="false">IF($C20="","",IF(Dashboard!$C$4="Gemiddeld per maand",$F20,IF(OR($D20="Per maand",$D20="Per week",$D20=""),$F20,IF($D20="Per jaar",IF(12=$W20,$C20,0),IF($D20="Per half jaar",IF(MOD(12-$W20,6)=0,$C20,0),IF($D20="Per kwartaal",IF(MOD(12-$W20,3)=0,$C20,0),$F20))))))</f>
        <v/>
      </c>
      <c r="W20" s="15" t="n">
        <f aca="false">IF($E20="",1,IFERROR(MATCH($E20,Lijsten!$K$6:$K$17,0),1))</f>
        <v>1</v>
      </c>
    </row>
    <row r="21" customFormat="false" ht="15" hidden="false" customHeight="false" outlineLevel="0" collapsed="false">
      <c r="A21" s="102"/>
      <c r="B21" s="102"/>
      <c r="C21" s="92"/>
      <c r="D21" s="102"/>
      <c r="E21" s="103"/>
      <c r="F21" s="104" t="str">
        <f aca="false">IF($C21="","",IF($D21="Per jaar",$C21/12,IF($D21="Per kwartaal",$C21/3,IF($D21="Per half jaar",$C21/6,IF($D21="Per week",$C21*52/12,$C21)))))</f>
        <v/>
      </c>
      <c r="G21" s="102"/>
      <c r="H21" s="103"/>
      <c r="I21" s="105"/>
      <c r="J21" s="106" t="str">
        <f aca="false">IF($C21="","",IF(Dashboard!$C$4="Gemiddeld per maand",$F21,IF(OR($D21="Per maand",$D21="Per week",$D21=""),$F21,IF($D21="Per jaar",IF(Dashboard!$N$2=$W21,$C21,0),IF($D21="Per half jaar",IF(MOD(Dashboard!$N$2-$W21,6)=0,$C21,0),IF($D21="Per kwartaal",IF(MOD(Dashboard!$N$2-$W21,3)=0,$C21,0),$F21))))))</f>
        <v/>
      </c>
      <c r="K21" s="107" t="str">
        <f aca="false">IF($C21="","",IF(Dashboard!$C$4="Gemiddeld per maand",$F21,IF(OR($D21="Per maand",$D21="Per week",$D21=""),$F21,IF($D21="Per jaar",IF(1=$W21,$C21,0),IF($D21="Per half jaar",IF(MOD(1-$W21,6)=0,$C21,0),IF($D21="Per kwartaal",IF(MOD(1-$W21,3)=0,$C21,0),$F21))))))</f>
        <v/>
      </c>
      <c r="L21" s="107" t="str">
        <f aca="false">IF($C21="","",IF(Dashboard!$C$4="Gemiddeld per maand",$F21,IF(OR($D21="Per maand",$D21="Per week",$D21=""),$F21,IF($D21="Per jaar",IF(2=$W21,$C21,0),IF($D21="Per half jaar",IF(MOD(2-$W21,6)=0,$C21,0),IF($D21="Per kwartaal",IF(MOD(2-$W21,3)=0,$C21,0),$F21))))))</f>
        <v/>
      </c>
      <c r="M21" s="107" t="str">
        <f aca="false">IF($C21="","",IF(Dashboard!$C$4="Gemiddeld per maand",$F21,IF(OR($D21="Per maand",$D21="Per week",$D21=""),$F21,IF($D21="Per jaar",IF(3=$W21,$C21,0),IF($D21="Per half jaar",IF(MOD(3-$W21,6)=0,$C21,0),IF($D21="Per kwartaal",IF(MOD(3-$W21,3)=0,$C21,0),$F21))))))</f>
        <v/>
      </c>
      <c r="N21" s="107" t="str">
        <f aca="false">IF($C21="","",IF(Dashboard!$C$4="Gemiddeld per maand",$F21,IF(OR($D21="Per maand",$D21="Per week",$D21=""),$F21,IF($D21="Per jaar",IF(4=$W21,$C21,0),IF($D21="Per half jaar",IF(MOD(4-$W21,6)=0,$C21,0),IF($D21="Per kwartaal",IF(MOD(4-$W21,3)=0,$C21,0),$F21))))))</f>
        <v/>
      </c>
      <c r="O21" s="107" t="str">
        <f aca="false">IF($C21="","",IF(Dashboard!$C$4="Gemiddeld per maand",$F21,IF(OR($D21="Per maand",$D21="Per week",$D21=""),$F21,IF($D21="Per jaar",IF(5=$W21,$C21,0),IF($D21="Per half jaar",IF(MOD(5-$W21,6)=0,$C21,0),IF($D21="Per kwartaal",IF(MOD(5-$W21,3)=0,$C21,0),$F21))))))</f>
        <v/>
      </c>
      <c r="P21" s="107" t="str">
        <f aca="false">IF($C21="","",IF(Dashboard!$C$4="Gemiddeld per maand",$F21,IF(OR($D21="Per maand",$D21="Per week",$D21=""),$F21,IF($D21="Per jaar",IF(6=$W21,$C21,0),IF($D21="Per half jaar",IF(MOD(6-$W21,6)=0,$C21,0),IF($D21="Per kwartaal",IF(MOD(6-$W21,3)=0,$C21,0),$F21))))))</f>
        <v/>
      </c>
      <c r="Q21" s="107" t="str">
        <f aca="false">IF($C21="","",IF(Dashboard!$C$4="Gemiddeld per maand",$F21,IF(OR($D21="Per maand",$D21="Per week",$D21=""),$F21,IF($D21="Per jaar",IF(7=$W21,$C21,0),IF($D21="Per half jaar",IF(MOD(7-$W21,6)=0,$C21,0),IF($D21="Per kwartaal",IF(MOD(7-$W21,3)=0,$C21,0),$F21))))))</f>
        <v/>
      </c>
      <c r="R21" s="107" t="str">
        <f aca="false">IF($C21="","",IF(Dashboard!$C$4="Gemiddeld per maand",$F21,IF(OR($D21="Per maand",$D21="Per week",$D21=""),$F21,IF($D21="Per jaar",IF(8=$W21,$C21,0),IF($D21="Per half jaar",IF(MOD(8-$W21,6)=0,$C21,0),IF($D21="Per kwartaal",IF(MOD(8-$W21,3)=0,$C21,0),$F21))))))</f>
        <v/>
      </c>
      <c r="S21" s="107" t="str">
        <f aca="false">IF($C21="","",IF(Dashboard!$C$4="Gemiddeld per maand",$F21,IF(OR($D21="Per maand",$D21="Per week",$D21=""),$F21,IF($D21="Per jaar",IF(9=$W21,$C21,0),IF($D21="Per half jaar",IF(MOD(9-$W21,6)=0,$C21,0),IF($D21="Per kwartaal",IF(MOD(9-$W21,3)=0,$C21,0),$F21))))))</f>
        <v/>
      </c>
      <c r="T21" s="107" t="str">
        <f aca="false">IF($C21="","",IF(Dashboard!$C$4="Gemiddeld per maand",$F21,IF(OR($D21="Per maand",$D21="Per week",$D21=""),$F21,IF($D21="Per jaar",IF(10=$W21,$C21,0),IF($D21="Per half jaar",IF(MOD(10-$W21,6)=0,$C21,0),IF($D21="Per kwartaal",IF(MOD(10-$W21,3)=0,$C21,0),$F21))))))</f>
        <v/>
      </c>
      <c r="U21" s="107" t="str">
        <f aca="false">IF($C21="","",IF(Dashboard!$C$4="Gemiddeld per maand",$F21,IF(OR($D21="Per maand",$D21="Per week",$D21=""),$F21,IF($D21="Per jaar",IF(11=$W21,$C21,0),IF($D21="Per half jaar",IF(MOD(11-$W21,6)=0,$C21,0),IF($D21="Per kwartaal",IF(MOD(11-$W21,3)=0,$C21,0),$F21))))))</f>
        <v/>
      </c>
      <c r="V21" s="107" t="str">
        <f aca="false">IF($C21="","",IF(Dashboard!$C$4="Gemiddeld per maand",$F21,IF(OR($D21="Per maand",$D21="Per week",$D21=""),$F21,IF($D21="Per jaar",IF(12=$W21,$C21,0),IF($D21="Per half jaar",IF(MOD(12-$W21,6)=0,$C21,0),IF($D21="Per kwartaal",IF(MOD(12-$W21,3)=0,$C21,0),$F21))))))</f>
        <v/>
      </c>
      <c r="W21" s="15" t="n">
        <f aca="false">IF($E21="",1,IFERROR(MATCH($E21,Lijsten!$K$6:$K$17,0),1))</f>
        <v>1</v>
      </c>
    </row>
    <row r="22" customFormat="false" ht="15" hidden="false" customHeight="false" outlineLevel="0" collapsed="false">
      <c r="A22" s="102"/>
      <c r="B22" s="102"/>
      <c r="C22" s="92"/>
      <c r="D22" s="102"/>
      <c r="E22" s="103"/>
      <c r="F22" s="104" t="str">
        <f aca="false">IF($C22="","",IF($D22="Per jaar",$C22/12,IF($D22="Per kwartaal",$C22/3,IF($D22="Per half jaar",$C22/6,IF($D22="Per week",$C22*52/12,$C22)))))</f>
        <v/>
      </c>
      <c r="G22" s="102"/>
      <c r="H22" s="103"/>
      <c r="I22" s="105"/>
      <c r="J22" s="106" t="str">
        <f aca="false">IF($C22="","",IF(Dashboard!$C$4="Gemiddeld per maand",$F22,IF(OR($D22="Per maand",$D22="Per week",$D22=""),$F22,IF($D22="Per jaar",IF(Dashboard!$N$2=$W22,$C22,0),IF($D22="Per half jaar",IF(MOD(Dashboard!$N$2-$W22,6)=0,$C22,0),IF($D22="Per kwartaal",IF(MOD(Dashboard!$N$2-$W22,3)=0,$C22,0),$F22))))))</f>
        <v/>
      </c>
      <c r="K22" s="107" t="str">
        <f aca="false">IF($C22="","",IF(Dashboard!$C$4="Gemiddeld per maand",$F22,IF(OR($D22="Per maand",$D22="Per week",$D22=""),$F22,IF($D22="Per jaar",IF(1=$W22,$C22,0),IF($D22="Per half jaar",IF(MOD(1-$W22,6)=0,$C22,0),IF($D22="Per kwartaal",IF(MOD(1-$W22,3)=0,$C22,0),$F22))))))</f>
        <v/>
      </c>
      <c r="L22" s="107" t="str">
        <f aca="false">IF($C22="","",IF(Dashboard!$C$4="Gemiddeld per maand",$F22,IF(OR($D22="Per maand",$D22="Per week",$D22=""),$F22,IF($D22="Per jaar",IF(2=$W22,$C22,0),IF($D22="Per half jaar",IF(MOD(2-$W22,6)=0,$C22,0),IF($D22="Per kwartaal",IF(MOD(2-$W22,3)=0,$C22,0),$F22))))))</f>
        <v/>
      </c>
      <c r="M22" s="107" t="str">
        <f aca="false">IF($C22="","",IF(Dashboard!$C$4="Gemiddeld per maand",$F22,IF(OR($D22="Per maand",$D22="Per week",$D22=""),$F22,IF($D22="Per jaar",IF(3=$W22,$C22,0),IF($D22="Per half jaar",IF(MOD(3-$W22,6)=0,$C22,0),IF($D22="Per kwartaal",IF(MOD(3-$W22,3)=0,$C22,0),$F22))))))</f>
        <v/>
      </c>
      <c r="N22" s="107" t="str">
        <f aca="false">IF($C22="","",IF(Dashboard!$C$4="Gemiddeld per maand",$F22,IF(OR($D22="Per maand",$D22="Per week",$D22=""),$F22,IF($D22="Per jaar",IF(4=$W22,$C22,0),IF($D22="Per half jaar",IF(MOD(4-$W22,6)=0,$C22,0),IF($D22="Per kwartaal",IF(MOD(4-$W22,3)=0,$C22,0),$F22))))))</f>
        <v/>
      </c>
      <c r="O22" s="107" t="str">
        <f aca="false">IF($C22="","",IF(Dashboard!$C$4="Gemiddeld per maand",$F22,IF(OR($D22="Per maand",$D22="Per week",$D22=""),$F22,IF($D22="Per jaar",IF(5=$W22,$C22,0),IF($D22="Per half jaar",IF(MOD(5-$W22,6)=0,$C22,0),IF($D22="Per kwartaal",IF(MOD(5-$W22,3)=0,$C22,0),$F22))))))</f>
        <v/>
      </c>
      <c r="P22" s="107" t="str">
        <f aca="false">IF($C22="","",IF(Dashboard!$C$4="Gemiddeld per maand",$F22,IF(OR($D22="Per maand",$D22="Per week",$D22=""),$F22,IF($D22="Per jaar",IF(6=$W22,$C22,0),IF($D22="Per half jaar",IF(MOD(6-$W22,6)=0,$C22,0),IF($D22="Per kwartaal",IF(MOD(6-$W22,3)=0,$C22,0),$F22))))))</f>
        <v/>
      </c>
      <c r="Q22" s="107" t="str">
        <f aca="false">IF($C22="","",IF(Dashboard!$C$4="Gemiddeld per maand",$F22,IF(OR($D22="Per maand",$D22="Per week",$D22=""),$F22,IF($D22="Per jaar",IF(7=$W22,$C22,0),IF($D22="Per half jaar",IF(MOD(7-$W22,6)=0,$C22,0),IF($D22="Per kwartaal",IF(MOD(7-$W22,3)=0,$C22,0),$F22))))))</f>
        <v/>
      </c>
      <c r="R22" s="107" t="str">
        <f aca="false">IF($C22="","",IF(Dashboard!$C$4="Gemiddeld per maand",$F22,IF(OR($D22="Per maand",$D22="Per week",$D22=""),$F22,IF($D22="Per jaar",IF(8=$W22,$C22,0),IF($D22="Per half jaar",IF(MOD(8-$W22,6)=0,$C22,0),IF($D22="Per kwartaal",IF(MOD(8-$W22,3)=0,$C22,0),$F22))))))</f>
        <v/>
      </c>
      <c r="S22" s="107" t="str">
        <f aca="false">IF($C22="","",IF(Dashboard!$C$4="Gemiddeld per maand",$F22,IF(OR($D22="Per maand",$D22="Per week",$D22=""),$F22,IF($D22="Per jaar",IF(9=$W22,$C22,0),IF($D22="Per half jaar",IF(MOD(9-$W22,6)=0,$C22,0),IF($D22="Per kwartaal",IF(MOD(9-$W22,3)=0,$C22,0),$F22))))))</f>
        <v/>
      </c>
      <c r="T22" s="107" t="str">
        <f aca="false">IF($C22="","",IF(Dashboard!$C$4="Gemiddeld per maand",$F22,IF(OR($D22="Per maand",$D22="Per week",$D22=""),$F22,IF($D22="Per jaar",IF(10=$W22,$C22,0),IF($D22="Per half jaar",IF(MOD(10-$W22,6)=0,$C22,0),IF($D22="Per kwartaal",IF(MOD(10-$W22,3)=0,$C22,0),$F22))))))</f>
        <v/>
      </c>
      <c r="U22" s="107" t="str">
        <f aca="false">IF($C22="","",IF(Dashboard!$C$4="Gemiddeld per maand",$F22,IF(OR($D22="Per maand",$D22="Per week",$D22=""),$F22,IF($D22="Per jaar",IF(11=$W22,$C22,0),IF($D22="Per half jaar",IF(MOD(11-$W22,6)=0,$C22,0),IF($D22="Per kwartaal",IF(MOD(11-$W22,3)=0,$C22,0),$F22))))))</f>
        <v/>
      </c>
      <c r="V22" s="107" t="str">
        <f aca="false">IF($C22="","",IF(Dashboard!$C$4="Gemiddeld per maand",$F22,IF(OR($D22="Per maand",$D22="Per week",$D22=""),$F22,IF($D22="Per jaar",IF(12=$W22,$C22,0),IF($D22="Per half jaar",IF(MOD(12-$W22,6)=0,$C22,0),IF($D22="Per kwartaal",IF(MOD(12-$W22,3)=0,$C22,0),$F22))))))</f>
        <v/>
      </c>
      <c r="W22" s="15" t="n">
        <f aca="false">IF($E22="",1,IFERROR(MATCH($E22,Lijsten!$K$6:$K$17,0),1))</f>
        <v>1</v>
      </c>
    </row>
    <row r="23" customFormat="false" ht="15" hidden="false" customHeight="false" outlineLevel="0" collapsed="false">
      <c r="A23" s="102"/>
      <c r="B23" s="102"/>
      <c r="C23" s="92"/>
      <c r="D23" s="102"/>
      <c r="E23" s="103"/>
      <c r="F23" s="104" t="str">
        <f aca="false">IF($C23="","",IF($D23="Per jaar",$C23/12,IF($D23="Per kwartaal",$C23/3,IF($D23="Per half jaar",$C23/6,IF($D23="Per week",$C23*52/12,$C23)))))</f>
        <v/>
      </c>
      <c r="G23" s="102"/>
      <c r="H23" s="103"/>
      <c r="I23" s="105"/>
      <c r="J23" s="106" t="str">
        <f aca="false">IF($C23="","",IF(Dashboard!$C$4="Gemiddeld per maand",$F23,IF(OR($D23="Per maand",$D23="Per week",$D23=""),$F23,IF($D23="Per jaar",IF(Dashboard!$N$2=$W23,$C23,0),IF($D23="Per half jaar",IF(MOD(Dashboard!$N$2-$W23,6)=0,$C23,0),IF($D23="Per kwartaal",IF(MOD(Dashboard!$N$2-$W23,3)=0,$C23,0),$F23))))))</f>
        <v/>
      </c>
      <c r="K23" s="107" t="str">
        <f aca="false">IF($C23="","",IF(Dashboard!$C$4="Gemiddeld per maand",$F23,IF(OR($D23="Per maand",$D23="Per week",$D23=""),$F23,IF($D23="Per jaar",IF(1=$W23,$C23,0),IF($D23="Per half jaar",IF(MOD(1-$W23,6)=0,$C23,0),IF($D23="Per kwartaal",IF(MOD(1-$W23,3)=0,$C23,0),$F23))))))</f>
        <v/>
      </c>
      <c r="L23" s="107" t="str">
        <f aca="false">IF($C23="","",IF(Dashboard!$C$4="Gemiddeld per maand",$F23,IF(OR($D23="Per maand",$D23="Per week",$D23=""),$F23,IF($D23="Per jaar",IF(2=$W23,$C23,0),IF($D23="Per half jaar",IF(MOD(2-$W23,6)=0,$C23,0),IF($D23="Per kwartaal",IF(MOD(2-$W23,3)=0,$C23,0),$F23))))))</f>
        <v/>
      </c>
      <c r="M23" s="107" t="str">
        <f aca="false">IF($C23="","",IF(Dashboard!$C$4="Gemiddeld per maand",$F23,IF(OR($D23="Per maand",$D23="Per week",$D23=""),$F23,IF($D23="Per jaar",IF(3=$W23,$C23,0),IF($D23="Per half jaar",IF(MOD(3-$W23,6)=0,$C23,0),IF($D23="Per kwartaal",IF(MOD(3-$W23,3)=0,$C23,0),$F23))))))</f>
        <v/>
      </c>
      <c r="N23" s="107" t="str">
        <f aca="false">IF($C23="","",IF(Dashboard!$C$4="Gemiddeld per maand",$F23,IF(OR($D23="Per maand",$D23="Per week",$D23=""),$F23,IF($D23="Per jaar",IF(4=$W23,$C23,0),IF($D23="Per half jaar",IF(MOD(4-$W23,6)=0,$C23,0),IF($D23="Per kwartaal",IF(MOD(4-$W23,3)=0,$C23,0),$F23))))))</f>
        <v/>
      </c>
      <c r="O23" s="107" t="str">
        <f aca="false">IF($C23="","",IF(Dashboard!$C$4="Gemiddeld per maand",$F23,IF(OR($D23="Per maand",$D23="Per week",$D23=""),$F23,IF($D23="Per jaar",IF(5=$W23,$C23,0),IF($D23="Per half jaar",IF(MOD(5-$W23,6)=0,$C23,0),IF($D23="Per kwartaal",IF(MOD(5-$W23,3)=0,$C23,0),$F23))))))</f>
        <v/>
      </c>
      <c r="P23" s="107" t="str">
        <f aca="false">IF($C23="","",IF(Dashboard!$C$4="Gemiddeld per maand",$F23,IF(OR($D23="Per maand",$D23="Per week",$D23=""),$F23,IF($D23="Per jaar",IF(6=$W23,$C23,0),IF($D23="Per half jaar",IF(MOD(6-$W23,6)=0,$C23,0),IF($D23="Per kwartaal",IF(MOD(6-$W23,3)=0,$C23,0),$F23))))))</f>
        <v/>
      </c>
      <c r="Q23" s="107" t="str">
        <f aca="false">IF($C23="","",IF(Dashboard!$C$4="Gemiddeld per maand",$F23,IF(OR($D23="Per maand",$D23="Per week",$D23=""),$F23,IF($D23="Per jaar",IF(7=$W23,$C23,0),IF($D23="Per half jaar",IF(MOD(7-$W23,6)=0,$C23,0),IF($D23="Per kwartaal",IF(MOD(7-$W23,3)=0,$C23,0),$F23))))))</f>
        <v/>
      </c>
      <c r="R23" s="107" t="str">
        <f aca="false">IF($C23="","",IF(Dashboard!$C$4="Gemiddeld per maand",$F23,IF(OR($D23="Per maand",$D23="Per week",$D23=""),$F23,IF($D23="Per jaar",IF(8=$W23,$C23,0),IF($D23="Per half jaar",IF(MOD(8-$W23,6)=0,$C23,0),IF($D23="Per kwartaal",IF(MOD(8-$W23,3)=0,$C23,0),$F23))))))</f>
        <v/>
      </c>
      <c r="S23" s="107" t="str">
        <f aca="false">IF($C23="","",IF(Dashboard!$C$4="Gemiddeld per maand",$F23,IF(OR($D23="Per maand",$D23="Per week",$D23=""),$F23,IF($D23="Per jaar",IF(9=$W23,$C23,0),IF($D23="Per half jaar",IF(MOD(9-$W23,6)=0,$C23,0),IF($D23="Per kwartaal",IF(MOD(9-$W23,3)=0,$C23,0),$F23))))))</f>
        <v/>
      </c>
      <c r="T23" s="107" t="str">
        <f aca="false">IF($C23="","",IF(Dashboard!$C$4="Gemiddeld per maand",$F23,IF(OR($D23="Per maand",$D23="Per week",$D23=""),$F23,IF($D23="Per jaar",IF(10=$W23,$C23,0),IF($D23="Per half jaar",IF(MOD(10-$W23,6)=0,$C23,0),IF($D23="Per kwartaal",IF(MOD(10-$W23,3)=0,$C23,0),$F23))))))</f>
        <v/>
      </c>
      <c r="U23" s="107" t="str">
        <f aca="false">IF($C23="","",IF(Dashboard!$C$4="Gemiddeld per maand",$F23,IF(OR($D23="Per maand",$D23="Per week",$D23=""),$F23,IF($D23="Per jaar",IF(11=$W23,$C23,0),IF($D23="Per half jaar",IF(MOD(11-$W23,6)=0,$C23,0),IF($D23="Per kwartaal",IF(MOD(11-$W23,3)=0,$C23,0),$F23))))))</f>
        <v/>
      </c>
      <c r="V23" s="107" t="str">
        <f aca="false">IF($C23="","",IF(Dashboard!$C$4="Gemiddeld per maand",$F23,IF(OR($D23="Per maand",$D23="Per week",$D23=""),$F23,IF($D23="Per jaar",IF(12=$W23,$C23,0),IF($D23="Per half jaar",IF(MOD(12-$W23,6)=0,$C23,0),IF($D23="Per kwartaal",IF(MOD(12-$W23,3)=0,$C23,0),$F23))))))</f>
        <v/>
      </c>
      <c r="W23" s="15" t="n">
        <f aca="false">IF($E23="",1,IFERROR(MATCH($E23,Lijsten!$K$6:$K$17,0),1))</f>
        <v>1</v>
      </c>
    </row>
    <row r="24" customFormat="false" ht="15" hidden="false" customHeight="false" outlineLevel="0" collapsed="false">
      <c r="A24" s="102"/>
      <c r="B24" s="102"/>
      <c r="C24" s="92"/>
      <c r="D24" s="102"/>
      <c r="E24" s="103"/>
      <c r="F24" s="104" t="str">
        <f aca="false">IF($C24="","",IF($D24="Per jaar",$C24/12,IF($D24="Per kwartaal",$C24/3,IF($D24="Per half jaar",$C24/6,IF($D24="Per week",$C24*52/12,$C24)))))</f>
        <v/>
      </c>
      <c r="G24" s="102"/>
      <c r="H24" s="103"/>
      <c r="I24" s="105"/>
      <c r="J24" s="106" t="str">
        <f aca="false">IF($C24="","",IF(Dashboard!$C$4="Gemiddeld per maand",$F24,IF(OR($D24="Per maand",$D24="Per week",$D24=""),$F24,IF($D24="Per jaar",IF(Dashboard!$N$2=$W24,$C24,0),IF($D24="Per half jaar",IF(MOD(Dashboard!$N$2-$W24,6)=0,$C24,0),IF($D24="Per kwartaal",IF(MOD(Dashboard!$N$2-$W24,3)=0,$C24,0),$F24))))))</f>
        <v/>
      </c>
      <c r="K24" s="107" t="str">
        <f aca="false">IF($C24="","",IF(Dashboard!$C$4="Gemiddeld per maand",$F24,IF(OR($D24="Per maand",$D24="Per week",$D24=""),$F24,IF($D24="Per jaar",IF(1=$W24,$C24,0),IF($D24="Per half jaar",IF(MOD(1-$W24,6)=0,$C24,0),IF($D24="Per kwartaal",IF(MOD(1-$W24,3)=0,$C24,0),$F24))))))</f>
        <v/>
      </c>
      <c r="L24" s="107" t="str">
        <f aca="false">IF($C24="","",IF(Dashboard!$C$4="Gemiddeld per maand",$F24,IF(OR($D24="Per maand",$D24="Per week",$D24=""),$F24,IF($D24="Per jaar",IF(2=$W24,$C24,0),IF($D24="Per half jaar",IF(MOD(2-$W24,6)=0,$C24,0),IF($D24="Per kwartaal",IF(MOD(2-$W24,3)=0,$C24,0),$F24))))))</f>
        <v/>
      </c>
      <c r="M24" s="107" t="str">
        <f aca="false">IF($C24="","",IF(Dashboard!$C$4="Gemiddeld per maand",$F24,IF(OR($D24="Per maand",$D24="Per week",$D24=""),$F24,IF($D24="Per jaar",IF(3=$W24,$C24,0),IF($D24="Per half jaar",IF(MOD(3-$W24,6)=0,$C24,0),IF($D24="Per kwartaal",IF(MOD(3-$W24,3)=0,$C24,0),$F24))))))</f>
        <v/>
      </c>
      <c r="N24" s="107" t="str">
        <f aca="false">IF($C24="","",IF(Dashboard!$C$4="Gemiddeld per maand",$F24,IF(OR($D24="Per maand",$D24="Per week",$D24=""),$F24,IF($D24="Per jaar",IF(4=$W24,$C24,0),IF($D24="Per half jaar",IF(MOD(4-$W24,6)=0,$C24,0),IF($D24="Per kwartaal",IF(MOD(4-$W24,3)=0,$C24,0),$F24))))))</f>
        <v/>
      </c>
      <c r="O24" s="107" t="str">
        <f aca="false">IF($C24="","",IF(Dashboard!$C$4="Gemiddeld per maand",$F24,IF(OR($D24="Per maand",$D24="Per week",$D24=""),$F24,IF($D24="Per jaar",IF(5=$W24,$C24,0),IF($D24="Per half jaar",IF(MOD(5-$W24,6)=0,$C24,0),IF($D24="Per kwartaal",IF(MOD(5-$W24,3)=0,$C24,0),$F24))))))</f>
        <v/>
      </c>
      <c r="P24" s="107" t="str">
        <f aca="false">IF($C24="","",IF(Dashboard!$C$4="Gemiddeld per maand",$F24,IF(OR($D24="Per maand",$D24="Per week",$D24=""),$F24,IF($D24="Per jaar",IF(6=$W24,$C24,0),IF($D24="Per half jaar",IF(MOD(6-$W24,6)=0,$C24,0),IF($D24="Per kwartaal",IF(MOD(6-$W24,3)=0,$C24,0),$F24))))))</f>
        <v/>
      </c>
      <c r="Q24" s="107" t="str">
        <f aca="false">IF($C24="","",IF(Dashboard!$C$4="Gemiddeld per maand",$F24,IF(OR($D24="Per maand",$D24="Per week",$D24=""),$F24,IF($D24="Per jaar",IF(7=$W24,$C24,0),IF($D24="Per half jaar",IF(MOD(7-$W24,6)=0,$C24,0),IF($D24="Per kwartaal",IF(MOD(7-$W24,3)=0,$C24,0),$F24))))))</f>
        <v/>
      </c>
      <c r="R24" s="107" t="str">
        <f aca="false">IF($C24="","",IF(Dashboard!$C$4="Gemiddeld per maand",$F24,IF(OR($D24="Per maand",$D24="Per week",$D24=""),$F24,IF($D24="Per jaar",IF(8=$W24,$C24,0),IF($D24="Per half jaar",IF(MOD(8-$W24,6)=0,$C24,0),IF($D24="Per kwartaal",IF(MOD(8-$W24,3)=0,$C24,0),$F24))))))</f>
        <v/>
      </c>
      <c r="S24" s="107" t="str">
        <f aca="false">IF($C24="","",IF(Dashboard!$C$4="Gemiddeld per maand",$F24,IF(OR($D24="Per maand",$D24="Per week",$D24=""),$F24,IF($D24="Per jaar",IF(9=$W24,$C24,0),IF($D24="Per half jaar",IF(MOD(9-$W24,6)=0,$C24,0),IF($D24="Per kwartaal",IF(MOD(9-$W24,3)=0,$C24,0),$F24))))))</f>
        <v/>
      </c>
      <c r="T24" s="107" t="str">
        <f aca="false">IF($C24="","",IF(Dashboard!$C$4="Gemiddeld per maand",$F24,IF(OR($D24="Per maand",$D24="Per week",$D24=""),$F24,IF($D24="Per jaar",IF(10=$W24,$C24,0),IF($D24="Per half jaar",IF(MOD(10-$W24,6)=0,$C24,0),IF($D24="Per kwartaal",IF(MOD(10-$W24,3)=0,$C24,0),$F24))))))</f>
        <v/>
      </c>
      <c r="U24" s="107" t="str">
        <f aca="false">IF($C24="","",IF(Dashboard!$C$4="Gemiddeld per maand",$F24,IF(OR($D24="Per maand",$D24="Per week",$D24=""),$F24,IF($D24="Per jaar",IF(11=$W24,$C24,0),IF($D24="Per half jaar",IF(MOD(11-$W24,6)=0,$C24,0),IF($D24="Per kwartaal",IF(MOD(11-$W24,3)=0,$C24,0),$F24))))))</f>
        <v/>
      </c>
      <c r="V24" s="107" t="str">
        <f aca="false">IF($C24="","",IF(Dashboard!$C$4="Gemiddeld per maand",$F24,IF(OR($D24="Per maand",$D24="Per week",$D24=""),$F24,IF($D24="Per jaar",IF(12=$W24,$C24,0),IF($D24="Per half jaar",IF(MOD(12-$W24,6)=0,$C24,0),IF($D24="Per kwartaal",IF(MOD(12-$W24,3)=0,$C24,0),$F24))))))</f>
        <v/>
      </c>
      <c r="W24" s="15" t="n">
        <f aca="false">IF($E24="",1,IFERROR(MATCH($E24,Lijsten!$K$6:$K$17,0),1))</f>
        <v>1</v>
      </c>
    </row>
    <row r="25" customFormat="false" ht="15" hidden="false" customHeight="false" outlineLevel="0" collapsed="false">
      <c r="A25" s="102"/>
      <c r="B25" s="102"/>
      <c r="C25" s="92"/>
      <c r="D25" s="102"/>
      <c r="E25" s="103"/>
      <c r="F25" s="104" t="str">
        <f aca="false">IF($C25="","",IF($D25="Per jaar",$C25/12,IF($D25="Per kwartaal",$C25/3,IF($D25="Per half jaar",$C25/6,IF($D25="Per week",$C25*52/12,$C25)))))</f>
        <v/>
      </c>
      <c r="G25" s="102"/>
      <c r="H25" s="103"/>
      <c r="I25" s="105"/>
      <c r="J25" s="106" t="str">
        <f aca="false">IF($C25="","",IF(Dashboard!$C$4="Gemiddeld per maand",$F25,IF(OR($D25="Per maand",$D25="Per week",$D25=""),$F25,IF($D25="Per jaar",IF(Dashboard!$N$2=$W25,$C25,0),IF($D25="Per half jaar",IF(MOD(Dashboard!$N$2-$W25,6)=0,$C25,0),IF($D25="Per kwartaal",IF(MOD(Dashboard!$N$2-$W25,3)=0,$C25,0),$F25))))))</f>
        <v/>
      </c>
      <c r="K25" s="107" t="str">
        <f aca="false">IF($C25="","",IF(Dashboard!$C$4="Gemiddeld per maand",$F25,IF(OR($D25="Per maand",$D25="Per week",$D25=""),$F25,IF($D25="Per jaar",IF(1=$W25,$C25,0),IF($D25="Per half jaar",IF(MOD(1-$W25,6)=0,$C25,0),IF($D25="Per kwartaal",IF(MOD(1-$W25,3)=0,$C25,0),$F25))))))</f>
        <v/>
      </c>
      <c r="L25" s="107" t="str">
        <f aca="false">IF($C25="","",IF(Dashboard!$C$4="Gemiddeld per maand",$F25,IF(OR($D25="Per maand",$D25="Per week",$D25=""),$F25,IF($D25="Per jaar",IF(2=$W25,$C25,0),IF($D25="Per half jaar",IF(MOD(2-$W25,6)=0,$C25,0),IF($D25="Per kwartaal",IF(MOD(2-$W25,3)=0,$C25,0),$F25))))))</f>
        <v/>
      </c>
      <c r="M25" s="107" t="str">
        <f aca="false">IF($C25="","",IF(Dashboard!$C$4="Gemiddeld per maand",$F25,IF(OR($D25="Per maand",$D25="Per week",$D25=""),$F25,IF($D25="Per jaar",IF(3=$W25,$C25,0),IF($D25="Per half jaar",IF(MOD(3-$W25,6)=0,$C25,0),IF($D25="Per kwartaal",IF(MOD(3-$W25,3)=0,$C25,0),$F25))))))</f>
        <v/>
      </c>
      <c r="N25" s="107" t="str">
        <f aca="false">IF($C25="","",IF(Dashboard!$C$4="Gemiddeld per maand",$F25,IF(OR($D25="Per maand",$D25="Per week",$D25=""),$F25,IF($D25="Per jaar",IF(4=$W25,$C25,0),IF($D25="Per half jaar",IF(MOD(4-$W25,6)=0,$C25,0),IF($D25="Per kwartaal",IF(MOD(4-$W25,3)=0,$C25,0),$F25))))))</f>
        <v/>
      </c>
      <c r="O25" s="107" t="str">
        <f aca="false">IF($C25="","",IF(Dashboard!$C$4="Gemiddeld per maand",$F25,IF(OR($D25="Per maand",$D25="Per week",$D25=""),$F25,IF($D25="Per jaar",IF(5=$W25,$C25,0),IF($D25="Per half jaar",IF(MOD(5-$W25,6)=0,$C25,0),IF($D25="Per kwartaal",IF(MOD(5-$W25,3)=0,$C25,0),$F25))))))</f>
        <v/>
      </c>
      <c r="P25" s="107" t="str">
        <f aca="false">IF($C25="","",IF(Dashboard!$C$4="Gemiddeld per maand",$F25,IF(OR($D25="Per maand",$D25="Per week",$D25=""),$F25,IF($D25="Per jaar",IF(6=$W25,$C25,0),IF($D25="Per half jaar",IF(MOD(6-$W25,6)=0,$C25,0),IF($D25="Per kwartaal",IF(MOD(6-$W25,3)=0,$C25,0),$F25))))))</f>
        <v/>
      </c>
      <c r="Q25" s="107" t="str">
        <f aca="false">IF($C25="","",IF(Dashboard!$C$4="Gemiddeld per maand",$F25,IF(OR($D25="Per maand",$D25="Per week",$D25=""),$F25,IF($D25="Per jaar",IF(7=$W25,$C25,0),IF($D25="Per half jaar",IF(MOD(7-$W25,6)=0,$C25,0),IF($D25="Per kwartaal",IF(MOD(7-$W25,3)=0,$C25,0),$F25))))))</f>
        <v/>
      </c>
      <c r="R25" s="107" t="str">
        <f aca="false">IF($C25="","",IF(Dashboard!$C$4="Gemiddeld per maand",$F25,IF(OR($D25="Per maand",$D25="Per week",$D25=""),$F25,IF($D25="Per jaar",IF(8=$W25,$C25,0),IF($D25="Per half jaar",IF(MOD(8-$W25,6)=0,$C25,0),IF($D25="Per kwartaal",IF(MOD(8-$W25,3)=0,$C25,0),$F25))))))</f>
        <v/>
      </c>
      <c r="S25" s="107" t="str">
        <f aca="false">IF($C25="","",IF(Dashboard!$C$4="Gemiddeld per maand",$F25,IF(OR($D25="Per maand",$D25="Per week",$D25=""),$F25,IF($D25="Per jaar",IF(9=$W25,$C25,0),IF($D25="Per half jaar",IF(MOD(9-$W25,6)=0,$C25,0),IF($D25="Per kwartaal",IF(MOD(9-$W25,3)=0,$C25,0),$F25))))))</f>
        <v/>
      </c>
      <c r="T25" s="107" t="str">
        <f aca="false">IF($C25="","",IF(Dashboard!$C$4="Gemiddeld per maand",$F25,IF(OR($D25="Per maand",$D25="Per week",$D25=""),$F25,IF($D25="Per jaar",IF(10=$W25,$C25,0),IF($D25="Per half jaar",IF(MOD(10-$W25,6)=0,$C25,0),IF($D25="Per kwartaal",IF(MOD(10-$W25,3)=0,$C25,0),$F25))))))</f>
        <v/>
      </c>
      <c r="U25" s="107" t="str">
        <f aca="false">IF($C25="","",IF(Dashboard!$C$4="Gemiddeld per maand",$F25,IF(OR($D25="Per maand",$D25="Per week",$D25=""),$F25,IF($D25="Per jaar",IF(11=$W25,$C25,0),IF($D25="Per half jaar",IF(MOD(11-$W25,6)=0,$C25,0),IF($D25="Per kwartaal",IF(MOD(11-$W25,3)=0,$C25,0),$F25))))))</f>
        <v/>
      </c>
      <c r="V25" s="107" t="str">
        <f aca="false">IF($C25="","",IF(Dashboard!$C$4="Gemiddeld per maand",$F25,IF(OR($D25="Per maand",$D25="Per week",$D25=""),$F25,IF($D25="Per jaar",IF(12=$W25,$C25,0),IF($D25="Per half jaar",IF(MOD(12-$W25,6)=0,$C25,0),IF($D25="Per kwartaal",IF(MOD(12-$W25,3)=0,$C25,0),$F25))))))</f>
        <v/>
      </c>
      <c r="W25" s="15" t="n">
        <f aca="false">IF($E25="",1,IFERROR(MATCH($E25,Lijsten!$K$6:$K$17,0),1))</f>
        <v>1</v>
      </c>
    </row>
    <row r="26" customFormat="false" ht="15" hidden="false" customHeight="false" outlineLevel="0" collapsed="false">
      <c r="A26" s="102"/>
      <c r="B26" s="102"/>
      <c r="C26" s="92"/>
      <c r="D26" s="102"/>
      <c r="E26" s="103"/>
      <c r="F26" s="104" t="str">
        <f aca="false">IF($C26="","",IF($D26="Per jaar",$C26/12,IF($D26="Per kwartaal",$C26/3,IF($D26="Per half jaar",$C26/6,IF($D26="Per week",$C26*52/12,$C26)))))</f>
        <v/>
      </c>
      <c r="G26" s="102"/>
      <c r="H26" s="103"/>
      <c r="I26" s="105"/>
      <c r="J26" s="106" t="str">
        <f aca="false">IF($C26="","",IF(Dashboard!$C$4="Gemiddeld per maand",$F26,IF(OR($D26="Per maand",$D26="Per week",$D26=""),$F26,IF($D26="Per jaar",IF(Dashboard!$N$2=$W26,$C26,0),IF($D26="Per half jaar",IF(MOD(Dashboard!$N$2-$W26,6)=0,$C26,0),IF($D26="Per kwartaal",IF(MOD(Dashboard!$N$2-$W26,3)=0,$C26,0),$F26))))))</f>
        <v/>
      </c>
      <c r="K26" s="107" t="str">
        <f aca="false">IF($C26="","",IF(Dashboard!$C$4="Gemiddeld per maand",$F26,IF(OR($D26="Per maand",$D26="Per week",$D26=""),$F26,IF($D26="Per jaar",IF(1=$W26,$C26,0),IF($D26="Per half jaar",IF(MOD(1-$W26,6)=0,$C26,0),IF($D26="Per kwartaal",IF(MOD(1-$W26,3)=0,$C26,0),$F26))))))</f>
        <v/>
      </c>
      <c r="L26" s="107" t="str">
        <f aca="false">IF($C26="","",IF(Dashboard!$C$4="Gemiddeld per maand",$F26,IF(OR($D26="Per maand",$D26="Per week",$D26=""),$F26,IF($D26="Per jaar",IF(2=$W26,$C26,0),IF($D26="Per half jaar",IF(MOD(2-$W26,6)=0,$C26,0),IF($D26="Per kwartaal",IF(MOD(2-$W26,3)=0,$C26,0),$F26))))))</f>
        <v/>
      </c>
      <c r="M26" s="107" t="str">
        <f aca="false">IF($C26="","",IF(Dashboard!$C$4="Gemiddeld per maand",$F26,IF(OR($D26="Per maand",$D26="Per week",$D26=""),$F26,IF($D26="Per jaar",IF(3=$W26,$C26,0),IF($D26="Per half jaar",IF(MOD(3-$W26,6)=0,$C26,0),IF($D26="Per kwartaal",IF(MOD(3-$W26,3)=0,$C26,0),$F26))))))</f>
        <v/>
      </c>
      <c r="N26" s="107" t="str">
        <f aca="false">IF($C26="","",IF(Dashboard!$C$4="Gemiddeld per maand",$F26,IF(OR($D26="Per maand",$D26="Per week",$D26=""),$F26,IF($D26="Per jaar",IF(4=$W26,$C26,0),IF($D26="Per half jaar",IF(MOD(4-$W26,6)=0,$C26,0),IF($D26="Per kwartaal",IF(MOD(4-$W26,3)=0,$C26,0),$F26))))))</f>
        <v/>
      </c>
      <c r="O26" s="107" t="str">
        <f aca="false">IF($C26="","",IF(Dashboard!$C$4="Gemiddeld per maand",$F26,IF(OR($D26="Per maand",$D26="Per week",$D26=""),$F26,IF($D26="Per jaar",IF(5=$W26,$C26,0),IF($D26="Per half jaar",IF(MOD(5-$W26,6)=0,$C26,0),IF($D26="Per kwartaal",IF(MOD(5-$W26,3)=0,$C26,0),$F26))))))</f>
        <v/>
      </c>
      <c r="P26" s="107" t="str">
        <f aca="false">IF($C26="","",IF(Dashboard!$C$4="Gemiddeld per maand",$F26,IF(OR($D26="Per maand",$D26="Per week",$D26=""),$F26,IF($D26="Per jaar",IF(6=$W26,$C26,0),IF($D26="Per half jaar",IF(MOD(6-$W26,6)=0,$C26,0),IF($D26="Per kwartaal",IF(MOD(6-$W26,3)=0,$C26,0),$F26))))))</f>
        <v/>
      </c>
      <c r="Q26" s="107" t="str">
        <f aca="false">IF($C26="","",IF(Dashboard!$C$4="Gemiddeld per maand",$F26,IF(OR($D26="Per maand",$D26="Per week",$D26=""),$F26,IF($D26="Per jaar",IF(7=$W26,$C26,0),IF($D26="Per half jaar",IF(MOD(7-$W26,6)=0,$C26,0),IF($D26="Per kwartaal",IF(MOD(7-$W26,3)=0,$C26,0),$F26))))))</f>
        <v/>
      </c>
      <c r="R26" s="107" t="str">
        <f aca="false">IF($C26="","",IF(Dashboard!$C$4="Gemiddeld per maand",$F26,IF(OR($D26="Per maand",$D26="Per week",$D26=""),$F26,IF($D26="Per jaar",IF(8=$W26,$C26,0),IF($D26="Per half jaar",IF(MOD(8-$W26,6)=0,$C26,0),IF($D26="Per kwartaal",IF(MOD(8-$W26,3)=0,$C26,0),$F26))))))</f>
        <v/>
      </c>
      <c r="S26" s="107" t="str">
        <f aca="false">IF($C26="","",IF(Dashboard!$C$4="Gemiddeld per maand",$F26,IF(OR($D26="Per maand",$D26="Per week",$D26=""),$F26,IF($D26="Per jaar",IF(9=$W26,$C26,0),IF($D26="Per half jaar",IF(MOD(9-$W26,6)=0,$C26,0),IF($D26="Per kwartaal",IF(MOD(9-$W26,3)=0,$C26,0),$F26))))))</f>
        <v/>
      </c>
      <c r="T26" s="107" t="str">
        <f aca="false">IF($C26="","",IF(Dashboard!$C$4="Gemiddeld per maand",$F26,IF(OR($D26="Per maand",$D26="Per week",$D26=""),$F26,IF($D26="Per jaar",IF(10=$W26,$C26,0),IF($D26="Per half jaar",IF(MOD(10-$W26,6)=0,$C26,0),IF($D26="Per kwartaal",IF(MOD(10-$W26,3)=0,$C26,0),$F26))))))</f>
        <v/>
      </c>
      <c r="U26" s="107" t="str">
        <f aca="false">IF($C26="","",IF(Dashboard!$C$4="Gemiddeld per maand",$F26,IF(OR($D26="Per maand",$D26="Per week",$D26=""),$F26,IF($D26="Per jaar",IF(11=$W26,$C26,0),IF($D26="Per half jaar",IF(MOD(11-$W26,6)=0,$C26,0),IF($D26="Per kwartaal",IF(MOD(11-$W26,3)=0,$C26,0),$F26))))))</f>
        <v/>
      </c>
      <c r="V26" s="107" t="str">
        <f aca="false">IF($C26="","",IF(Dashboard!$C$4="Gemiddeld per maand",$F26,IF(OR($D26="Per maand",$D26="Per week",$D26=""),$F26,IF($D26="Per jaar",IF(12=$W26,$C26,0),IF($D26="Per half jaar",IF(MOD(12-$W26,6)=0,$C26,0),IF($D26="Per kwartaal",IF(MOD(12-$W26,3)=0,$C26,0),$F26))))))</f>
        <v/>
      </c>
      <c r="W26" s="15" t="n">
        <f aca="false">IF($E26="",1,IFERROR(MATCH($E26,Lijsten!$K$6:$K$17,0),1))</f>
        <v>1</v>
      </c>
    </row>
    <row r="27" customFormat="false" ht="15" hidden="false" customHeight="false" outlineLevel="0" collapsed="false">
      <c r="A27" s="102"/>
      <c r="B27" s="102"/>
      <c r="C27" s="92"/>
      <c r="D27" s="102"/>
      <c r="E27" s="103"/>
      <c r="F27" s="104" t="str">
        <f aca="false">IF($C27="","",IF($D27="Per jaar",$C27/12,IF($D27="Per kwartaal",$C27/3,IF($D27="Per half jaar",$C27/6,IF($D27="Per week",$C27*52/12,$C27)))))</f>
        <v/>
      </c>
      <c r="G27" s="102"/>
      <c r="H27" s="103"/>
      <c r="I27" s="105"/>
      <c r="J27" s="106" t="str">
        <f aca="false">IF($C27="","",IF(Dashboard!$C$4="Gemiddeld per maand",$F27,IF(OR($D27="Per maand",$D27="Per week",$D27=""),$F27,IF($D27="Per jaar",IF(Dashboard!$N$2=$W27,$C27,0),IF($D27="Per half jaar",IF(MOD(Dashboard!$N$2-$W27,6)=0,$C27,0),IF($D27="Per kwartaal",IF(MOD(Dashboard!$N$2-$W27,3)=0,$C27,0),$F27))))))</f>
        <v/>
      </c>
      <c r="K27" s="107" t="str">
        <f aca="false">IF($C27="","",IF(Dashboard!$C$4="Gemiddeld per maand",$F27,IF(OR($D27="Per maand",$D27="Per week",$D27=""),$F27,IF($D27="Per jaar",IF(1=$W27,$C27,0),IF($D27="Per half jaar",IF(MOD(1-$W27,6)=0,$C27,0),IF($D27="Per kwartaal",IF(MOD(1-$W27,3)=0,$C27,0),$F27))))))</f>
        <v/>
      </c>
      <c r="L27" s="107" t="str">
        <f aca="false">IF($C27="","",IF(Dashboard!$C$4="Gemiddeld per maand",$F27,IF(OR($D27="Per maand",$D27="Per week",$D27=""),$F27,IF($D27="Per jaar",IF(2=$W27,$C27,0),IF($D27="Per half jaar",IF(MOD(2-$W27,6)=0,$C27,0),IF($D27="Per kwartaal",IF(MOD(2-$W27,3)=0,$C27,0),$F27))))))</f>
        <v/>
      </c>
      <c r="M27" s="107" t="str">
        <f aca="false">IF($C27="","",IF(Dashboard!$C$4="Gemiddeld per maand",$F27,IF(OR($D27="Per maand",$D27="Per week",$D27=""),$F27,IF($D27="Per jaar",IF(3=$W27,$C27,0),IF($D27="Per half jaar",IF(MOD(3-$W27,6)=0,$C27,0),IF($D27="Per kwartaal",IF(MOD(3-$W27,3)=0,$C27,0),$F27))))))</f>
        <v/>
      </c>
      <c r="N27" s="107" t="str">
        <f aca="false">IF($C27="","",IF(Dashboard!$C$4="Gemiddeld per maand",$F27,IF(OR($D27="Per maand",$D27="Per week",$D27=""),$F27,IF($D27="Per jaar",IF(4=$W27,$C27,0),IF($D27="Per half jaar",IF(MOD(4-$W27,6)=0,$C27,0),IF($D27="Per kwartaal",IF(MOD(4-$W27,3)=0,$C27,0),$F27))))))</f>
        <v/>
      </c>
      <c r="O27" s="107" t="str">
        <f aca="false">IF($C27="","",IF(Dashboard!$C$4="Gemiddeld per maand",$F27,IF(OR($D27="Per maand",$D27="Per week",$D27=""),$F27,IF($D27="Per jaar",IF(5=$W27,$C27,0),IF($D27="Per half jaar",IF(MOD(5-$W27,6)=0,$C27,0),IF($D27="Per kwartaal",IF(MOD(5-$W27,3)=0,$C27,0),$F27))))))</f>
        <v/>
      </c>
      <c r="P27" s="107" t="str">
        <f aca="false">IF($C27="","",IF(Dashboard!$C$4="Gemiddeld per maand",$F27,IF(OR($D27="Per maand",$D27="Per week",$D27=""),$F27,IF($D27="Per jaar",IF(6=$W27,$C27,0),IF($D27="Per half jaar",IF(MOD(6-$W27,6)=0,$C27,0),IF($D27="Per kwartaal",IF(MOD(6-$W27,3)=0,$C27,0),$F27))))))</f>
        <v/>
      </c>
      <c r="Q27" s="107" t="str">
        <f aca="false">IF($C27="","",IF(Dashboard!$C$4="Gemiddeld per maand",$F27,IF(OR($D27="Per maand",$D27="Per week",$D27=""),$F27,IF($D27="Per jaar",IF(7=$W27,$C27,0),IF($D27="Per half jaar",IF(MOD(7-$W27,6)=0,$C27,0),IF($D27="Per kwartaal",IF(MOD(7-$W27,3)=0,$C27,0),$F27))))))</f>
        <v/>
      </c>
      <c r="R27" s="107" t="str">
        <f aca="false">IF($C27="","",IF(Dashboard!$C$4="Gemiddeld per maand",$F27,IF(OR($D27="Per maand",$D27="Per week",$D27=""),$F27,IF($D27="Per jaar",IF(8=$W27,$C27,0),IF($D27="Per half jaar",IF(MOD(8-$W27,6)=0,$C27,0),IF($D27="Per kwartaal",IF(MOD(8-$W27,3)=0,$C27,0),$F27))))))</f>
        <v/>
      </c>
      <c r="S27" s="107" t="str">
        <f aca="false">IF($C27="","",IF(Dashboard!$C$4="Gemiddeld per maand",$F27,IF(OR($D27="Per maand",$D27="Per week",$D27=""),$F27,IF($D27="Per jaar",IF(9=$W27,$C27,0),IF($D27="Per half jaar",IF(MOD(9-$W27,6)=0,$C27,0),IF($D27="Per kwartaal",IF(MOD(9-$W27,3)=0,$C27,0),$F27))))))</f>
        <v/>
      </c>
      <c r="T27" s="107" t="str">
        <f aca="false">IF($C27="","",IF(Dashboard!$C$4="Gemiddeld per maand",$F27,IF(OR($D27="Per maand",$D27="Per week",$D27=""),$F27,IF($D27="Per jaar",IF(10=$W27,$C27,0),IF($D27="Per half jaar",IF(MOD(10-$W27,6)=0,$C27,0),IF($D27="Per kwartaal",IF(MOD(10-$W27,3)=0,$C27,0),$F27))))))</f>
        <v/>
      </c>
      <c r="U27" s="107" t="str">
        <f aca="false">IF($C27="","",IF(Dashboard!$C$4="Gemiddeld per maand",$F27,IF(OR($D27="Per maand",$D27="Per week",$D27=""),$F27,IF($D27="Per jaar",IF(11=$W27,$C27,0),IF($D27="Per half jaar",IF(MOD(11-$W27,6)=0,$C27,0),IF($D27="Per kwartaal",IF(MOD(11-$W27,3)=0,$C27,0),$F27))))))</f>
        <v/>
      </c>
      <c r="V27" s="107" t="str">
        <f aca="false">IF($C27="","",IF(Dashboard!$C$4="Gemiddeld per maand",$F27,IF(OR($D27="Per maand",$D27="Per week",$D27=""),$F27,IF($D27="Per jaar",IF(12=$W27,$C27,0),IF($D27="Per half jaar",IF(MOD(12-$W27,6)=0,$C27,0),IF($D27="Per kwartaal",IF(MOD(12-$W27,3)=0,$C27,0),$F27))))))</f>
        <v/>
      </c>
      <c r="W27" s="15" t="n">
        <f aca="false">IF($E27="",1,IFERROR(MATCH($E27,Lijsten!$K$6:$K$17,0),1))</f>
        <v>1</v>
      </c>
    </row>
    <row r="28" customFormat="false" ht="15" hidden="false" customHeight="false" outlineLevel="0" collapsed="false">
      <c r="A28" s="102"/>
      <c r="B28" s="102"/>
      <c r="C28" s="92"/>
      <c r="D28" s="102"/>
      <c r="E28" s="103"/>
      <c r="F28" s="104" t="str">
        <f aca="false">IF($C28="","",IF($D28="Per jaar",$C28/12,IF($D28="Per kwartaal",$C28/3,IF($D28="Per half jaar",$C28/6,IF($D28="Per week",$C28*52/12,$C28)))))</f>
        <v/>
      </c>
      <c r="G28" s="102"/>
      <c r="H28" s="103"/>
      <c r="I28" s="105"/>
      <c r="J28" s="106" t="str">
        <f aca="false">IF($C28="","",IF(Dashboard!$C$4="Gemiddeld per maand",$F28,IF(OR($D28="Per maand",$D28="Per week",$D28=""),$F28,IF($D28="Per jaar",IF(Dashboard!$N$2=$W28,$C28,0),IF($D28="Per half jaar",IF(MOD(Dashboard!$N$2-$W28,6)=0,$C28,0),IF($D28="Per kwartaal",IF(MOD(Dashboard!$N$2-$W28,3)=0,$C28,0),$F28))))))</f>
        <v/>
      </c>
      <c r="K28" s="107" t="str">
        <f aca="false">IF($C28="","",IF(Dashboard!$C$4="Gemiddeld per maand",$F28,IF(OR($D28="Per maand",$D28="Per week",$D28=""),$F28,IF($D28="Per jaar",IF(1=$W28,$C28,0),IF($D28="Per half jaar",IF(MOD(1-$W28,6)=0,$C28,0),IF($D28="Per kwartaal",IF(MOD(1-$W28,3)=0,$C28,0),$F28))))))</f>
        <v/>
      </c>
      <c r="L28" s="107" t="str">
        <f aca="false">IF($C28="","",IF(Dashboard!$C$4="Gemiddeld per maand",$F28,IF(OR($D28="Per maand",$D28="Per week",$D28=""),$F28,IF($D28="Per jaar",IF(2=$W28,$C28,0),IF($D28="Per half jaar",IF(MOD(2-$W28,6)=0,$C28,0),IF($D28="Per kwartaal",IF(MOD(2-$W28,3)=0,$C28,0),$F28))))))</f>
        <v/>
      </c>
      <c r="M28" s="107" t="str">
        <f aca="false">IF($C28="","",IF(Dashboard!$C$4="Gemiddeld per maand",$F28,IF(OR($D28="Per maand",$D28="Per week",$D28=""),$F28,IF($D28="Per jaar",IF(3=$W28,$C28,0),IF($D28="Per half jaar",IF(MOD(3-$W28,6)=0,$C28,0),IF($D28="Per kwartaal",IF(MOD(3-$W28,3)=0,$C28,0),$F28))))))</f>
        <v/>
      </c>
      <c r="N28" s="107" t="str">
        <f aca="false">IF($C28="","",IF(Dashboard!$C$4="Gemiddeld per maand",$F28,IF(OR($D28="Per maand",$D28="Per week",$D28=""),$F28,IF($D28="Per jaar",IF(4=$W28,$C28,0),IF($D28="Per half jaar",IF(MOD(4-$W28,6)=0,$C28,0),IF($D28="Per kwartaal",IF(MOD(4-$W28,3)=0,$C28,0),$F28))))))</f>
        <v/>
      </c>
      <c r="O28" s="107" t="str">
        <f aca="false">IF($C28="","",IF(Dashboard!$C$4="Gemiddeld per maand",$F28,IF(OR($D28="Per maand",$D28="Per week",$D28=""),$F28,IF($D28="Per jaar",IF(5=$W28,$C28,0),IF($D28="Per half jaar",IF(MOD(5-$W28,6)=0,$C28,0),IF($D28="Per kwartaal",IF(MOD(5-$W28,3)=0,$C28,0),$F28))))))</f>
        <v/>
      </c>
      <c r="P28" s="107" t="str">
        <f aca="false">IF($C28="","",IF(Dashboard!$C$4="Gemiddeld per maand",$F28,IF(OR($D28="Per maand",$D28="Per week",$D28=""),$F28,IF($D28="Per jaar",IF(6=$W28,$C28,0),IF($D28="Per half jaar",IF(MOD(6-$W28,6)=0,$C28,0),IF($D28="Per kwartaal",IF(MOD(6-$W28,3)=0,$C28,0),$F28))))))</f>
        <v/>
      </c>
      <c r="Q28" s="107" t="str">
        <f aca="false">IF($C28="","",IF(Dashboard!$C$4="Gemiddeld per maand",$F28,IF(OR($D28="Per maand",$D28="Per week",$D28=""),$F28,IF($D28="Per jaar",IF(7=$W28,$C28,0),IF($D28="Per half jaar",IF(MOD(7-$W28,6)=0,$C28,0),IF($D28="Per kwartaal",IF(MOD(7-$W28,3)=0,$C28,0),$F28))))))</f>
        <v/>
      </c>
      <c r="R28" s="107" t="str">
        <f aca="false">IF($C28="","",IF(Dashboard!$C$4="Gemiddeld per maand",$F28,IF(OR($D28="Per maand",$D28="Per week",$D28=""),$F28,IF($D28="Per jaar",IF(8=$W28,$C28,0),IF($D28="Per half jaar",IF(MOD(8-$W28,6)=0,$C28,0),IF($D28="Per kwartaal",IF(MOD(8-$W28,3)=0,$C28,0),$F28))))))</f>
        <v/>
      </c>
      <c r="S28" s="107" t="str">
        <f aca="false">IF($C28="","",IF(Dashboard!$C$4="Gemiddeld per maand",$F28,IF(OR($D28="Per maand",$D28="Per week",$D28=""),$F28,IF($D28="Per jaar",IF(9=$W28,$C28,0),IF($D28="Per half jaar",IF(MOD(9-$W28,6)=0,$C28,0),IF($D28="Per kwartaal",IF(MOD(9-$W28,3)=0,$C28,0),$F28))))))</f>
        <v/>
      </c>
      <c r="T28" s="107" t="str">
        <f aca="false">IF($C28="","",IF(Dashboard!$C$4="Gemiddeld per maand",$F28,IF(OR($D28="Per maand",$D28="Per week",$D28=""),$F28,IF($D28="Per jaar",IF(10=$W28,$C28,0),IF($D28="Per half jaar",IF(MOD(10-$W28,6)=0,$C28,0),IF($D28="Per kwartaal",IF(MOD(10-$W28,3)=0,$C28,0),$F28))))))</f>
        <v/>
      </c>
      <c r="U28" s="107" t="str">
        <f aca="false">IF($C28="","",IF(Dashboard!$C$4="Gemiddeld per maand",$F28,IF(OR($D28="Per maand",$D28="Per week",$D28=""),$F28,IF($D28="Per jaar",IF(11=$W28,$C28,0),IF($D28="Per half jaar",IF(MOD(11-$W28,6)=0,$C28,0),IF($D28="Per kwartaal",IF(MOD(11-$W28,3)=0,$C28,0),$F28))))))</f>
        <v/>
      </c>
      <c r="V28" s="107" t="str">
        <f aca="false">IF($C28="","",IF(Dashboard!$C$4="Gemiddeld per maand",$F28,IF(OR($D28="Per maand",$D28="Per week",$D28=""),$F28,IF($D28="Per jaar",IF(12=$W28,$C28,0),IF($D28="Per half jaar",IF(MOD(12-$W28,6)=0,$C28,0),IF($D28="Per kwartaal",IF(MOD(12-$W28,3)=0,$C28,0),$F28))))))</f>
        <v/>
      </c>
      <c r="W28" s="15" t="n">
        <f aca="false">IF($E28="",1,IFERROR(MATCH($E28,Lijsten!$K$6:$K$17,0),1))</f>
        <v>1</v>
      </c>
    </row>
    <row r="29" customFormat="false" ht="15" hidden="false" customHeight="false" outlineLevel="0" collapsed="false">
      <c r="A29" s="102"/>
      <c r="B29" s="102"/>
      <c r="C29" s="92"/>
      <c r="D29" s="102"/>
      <c r="E29" s="103"/>
      <c r="F29" s="104" t="str">
        <f aca="false">IF($C29="","",IF($D29="Per jaar",$C29/12,IF($D29="Per kwartaal",$C29/3,IF($D29="Per half jaar",$C29/6,IF($D29="Per week",$C29*52/12,$C29)))))</f>
        <v/>
      </c>
      <c r="G29" s="102"/>
      <c r="H29" s="103"/>
      <c r="I29" s="105"/>
      <c r="J29" s="106" t="str">
        <f aca="false">IF($C29="","",IF(Dashboard!$C$4="Gemiddeld per maand",$F29,IF(OR($D29="Per maand",$D29="Per week",$D29=""),$F29,IF($D29="Per jaar",IF(Dashboard!$N$2=$W29,$C29,0),IF($D29="Per half jaar",IF(MOD(Dashboard!$N$2-$W29,6)=0,$C29,0),IF($D29="Per kwartaal",IF(MOD(Dashboard!$N$2-$W29,3)=0,$C29,0),$F29))))))</f>
        <v/>
      </c>
      <c r="K29" s="107" t="str">
        <f aca="false">IF($C29="","",IF(Dashboard!$C$4="Gemiddeld per maand",$F29,IF(OR($D29="Per maand",$D29="Per week",$D29=""),$F29,IF($D29="Per jaar",IF(1=$W29,$C29,0),IF($D29="Per half jaar",IF(MOD(1-$W29,6)=0,$C29,0),IF($D29="Per kwartaal",IF(MOD(1-$W29,3)=0,$C29,0),$F29))))))</f>
        <v/>
      </c>
      <c r="L29" s="107" t="str">
        <f aca="false">IF($C29="","",IF(Dashboard!$C$4="Gemiddeld per maand",$F29,IF(OR($D29="Per maand",$D29="Per week",$D29=""),$F29,IF($D29="Per jaar",IF(2=$W29,$C29,0),IF($D29="Per half jaar",IF(MOD(2-$W29,6)=0,$C29,0),IF($D29="Per kwartaal",IF(MOD(2-$W29,3)=0,$C29,0),$F29))))))</f>
        <v/>
      </c>
      <c r="M29" s="107" t="str">
        <f aca="false">IF($C29="","",IF(Dashboard!$C$4="Gemiddeld per maand",$F29,IF(OR($D29="Per maand",$D29="Per week",$D29=""),$F29,IF($D29="Per jaar",IF(3=$W29,$C29,0),IF($D29="Per half jaar",IF(MOD(3-$W29,6)=0,$C29,0),IF($D29="Per kwartaal",IF(MOD(3-$W29,3)=0,$C29,0),$F29))))))</f>
        <v/>
      </c>
      <c r="N29" s="107" t="str">
        <f aca="false">IF($C29="","",IF(Dashboard!$C$4="Gemiddeld per maand",$F29,IF(OR($D29="Per maand",$D29="Per week",$D29=""),$F29,IF($D29="Per jaar",IF(4=$W29,$C29,0),IF($D29="Per half jaar",IF(MOD(4-$W29,6)=0,$C29,0),IF($D29="Per kwartaal",IF(MOD(4-$W29,3)=0,$C29,0),$F29))))))</f>
        <v/>
      </c>
      <c r="O29" s="107" t="str">
        <f aca="false">IF($C29="","",IF(Dashboard!$C$4="Gemiddeld per maand",$F29,IF(OR($D29="Per maand",$D29="Per week",$D29=""),$F29,IF($D29="Per jaar",IF(5=$W29,$C29,0),IF($D29="Per half jaar",IF(MOD(5-$W29,6)=0,$C29,0),IF($D29="Per kwartaal",IF(MOD(5-$W29,3)=0,$C29,0),$F29))))))</f>
        <v/>
      </c>
      <c r="P29" s="107" t="str">
        <f aca="false">IF($C29="","",IF(Dashboard!$C$4="Gemiddeld per maand",$F29,IF(OR($D29="Per maand",$D29="Per week",$D29=""),$F29,IF($D29="Per jaar",IF(6=$W29,$C29,0),IF($D29="Per half jaar",IF(MOD(6-$W29,6)=0,$C29,0),IF($D29="Per kwartaal",IF(MOD(6-$W29,3)=0,$C29,0),$F29))))))</f>
        <v/>
      </c>
      <c r="Q29" s="107" t="str">
        <f aca="false">IF($C29="","",IF(Dashboard!$C$4="Gemiddeld per maand",$F29,IF(OR($D29="Per maand",$D29="Per week",$D29=""),$F29,IF($D29="Per jaar",IF(7=$W29,$C29,0),IF($D29="Per half jaar",IF(MOD(7-$W29,6)=0,$C29,0),IF($D29="Per kwartaal",IF(MOD(7-$W29,3)=0,$C29,0),$F29))))))</f>
        <v/>
      </c>
      <c r="R29" s="107" t="str">
        <f aca="false">IF($C29="","",IF(Dashboard!$C$4="Gemiddeld per maand",$F29,IF(OR($D29="Per maand",$D29="Per week",$D29=""),$F29,IF($D29="Per jaar",IF(8=$W29,$C29,0),IF($D29="Per half jaar",IF(MOD(8-$W29,6)=0,$C29,0),IF($D29="Per kwartaal",IF(MOD(8-$W29,3)=0,$C29,0),$F29))))))</f>
        <v/>
      </c>
      <c r="S29" s="107" t="str">
        <f aca="false">IF($C29="","",IF(Dashboard!$C$4="Gemiddeld per maand",$F29,IF(OR($D29="Per maand",$D29="Per week",$D29=""),$F29,IF($D29="Per jaar",IF(9=$W29,$C29,0),IF($D29="Per half jaar",IF(MOD(9-$W29,6)=0,$C29,0),IF($D29="Per kwartaal",IF(MOD(9-$W29,3)=0,$C29,0),$F29))))))</f>
        <v/>
      </c>
      <c r="T29" s="107" t="str">
        <f aca="false">IF($C29="","",IF(Dashboard!$C$4="Gemiddeld per maand",$F29,IF(OR($D29="Per maand",$D29="Per week",$D29=""),$F29,IF($D29="Per jaar",IF(10=$W29,$C29,0),IF($D29="Per half jaar",IF(MOD(10-$W29,6)=0,$C29,0),IF($D29="Per kwartaal",IF(MOD(10-$W29,3)=0,$C29,0),$F29))))))</f>
        <v/>
      </c>
      <c r="U29" s="107" t="str">
        <f aca="false">IF($C29="","",IF(Dashboard!$C$4="Gemiddeld per maand",$F29,IF(OR($D29="Per maand",$D29="Per week",$D29=""),$F29,IF($D29="Per jaar",IF(11=$W29,$C29,0),IF($D29="Per half jaar",IF(MOD(11-$W29,6)=0,$C29,0),IF($D29="Per kwartaal",IF(MOD(11-$W29,3)=0,$C29,0),$F29))))))</f>
        <v/>
      </c>
      <c r="V29" s="107" t="str">
        <f aca="false">IF($C29="","",IF(Dashboard!$C$4="Gemiddeld per maand",$F29,IF(OR($D29="Per maand",$D29="Per week",$D29=""),$F29,IF($D29="Per jaar",IF(12=$W29,$C29,0),IF($D29="Per half jaar",IF(MOD(12-$W29,6)=0,$C29,0),IF($D29="Per kwartaal",IF(MOD(12-$W29,3)=0,$C29,0),$F29))))))</f>
        <v/>
      </c>
      <c r="W29" s="15" t="n">
        <f aca="false">IF($E29="",1,IFERROR(MATCH($E29,Lijsten!$K$6:$K$17,0),1))</f>
        <v>1</v>
      </c>
    </row>
    <row r="30" customFormat="false" ht="15" hidden="false" customHeight="false" outlineLevel="0" collapsed="false">
      <c r="A30" s="102"/>
      <c r="B30" s="102"/>
      <c r="C30" s="92"/>
      <c r="D30" s="102"/>
      <c r="E30" s="103"/>
      <c r="F30" s="104" t="str">
        <f aca="false">IF($C30="","",IF($D30="Per jaar",$C30/12,IF($D30="Per kwartaal",$C30/3,IF($D30="Per half jaar",$C30/6,IF($D30="Per week",$C30*52/12,$C30)))))</f>
        <v/>
      </c>
      <c r="G30" s="102"/>
      <c r="H30" s="103"/>
      <c r="I30" s="105"/>
      <c r="J30" s="106" t="str">
        <f aca="false">IF($C30="","",IF(Dashboard!$C$4="Gemiddeld per maand",$F30,IF(OR($D30="Per maand",$D30="Per week",$D30=""),$F30,IF($D30="Per jaar",IF(Dashboard!$N$2=$W30,$C30,0),IF($D30="Per half jaar",IF(MOD(Dashboard!$N$2-$W30,6)=0,$C30,0),IF($D30="Per kwartaal",IF(MOD(Dashboard!$N$2-$W30,3)=0,$C30,0),$F30))))))</f>
        <v/>
      </c>
      <c r="K30" s="107" t="str">
        <f aca="false">IF($C30="","",IF(Dashboard!$C$4="Gemiddeld per maand",$F30,IF(OR($D30="Per maand",$D30="Per week",$D30=""),$F30,IF($D30="Per jaar",IF(1=$W30,$C30,0),IF($D30="Per half jaar",IF(MOD(1-$W30,6)=0,$C30,0),IF($D30="Per kwartaal",IF(MOD(1-$W30,3)=0,$C30,0),$F30))))))</f>
        <v/>
      </c>
      <c r="L30" s="107" t="str">
        <f aca="false">IF($C30="","",IF(Dashboard!$C$4="Gemiddeld per maand",$F30,IF(OR($D30="Per maand",$D30="Per week",$D30=""),$F30,IF($D30="Per jaar",IF(2=$W30,$C30,0),IF($D30="Per half jaar",IF(MOD(2-$W30,6)=0,$C30,0),IF($D30="Per kwartaal",IF(MOD(2-$W30,3)=0,$C30,0),$F30))))))</f>
        <v/>
      </c>
      <c r="M30" s="107" t="str">
        <f aca="false">IF($C30="","",IF(Dashboard!$C$4="Gemiddeld per maand",$F30,IF(OR($D30="Per maand",$D30="Per week",$D30=""),$F30,IF($D30="Per jaar",IF(3=$W30,$C30,0),IF($D30="Per half jaar",IF(MOD(3-$W30,6)=0,$C30,0),IF($D30="Per kwartaal",IF(MOD(3-$W30,3)=0,$C30,0),$F30))))))</f>
        <v/>
      </c>
      <c r="N30" s="107" t="str">
        <f aca="false">IF($C30="","",IF(Dashboard!$C$4="Gemiddeld per maand",$F30,IF(OR($D30="Per maand",$D30="Per week",$D30=""),$F30,IF($D30="Per jaar",IF(4=$W30,$C30,0),IF($D30="Per half jaar",IF(MOD(4-$W30,6)=0,$C30,0),IF($D30="Per kwartaal",IF(MOD(4-$W30,3)=0,$C30,0),$F30))))))</f>
        <v/>
      </c>
      <c r="O30" s="107" t="str">
        <f aca="false">IF($C30="","",IF(Dashboard!$C$4="Gemiddeld per maand",$F30,IF(OR($D30="Per maand",$D30="Per week",$D30=""),$F30,IF($D30="Per jaar",IF(5=$W30,$C30,0),IF($D30="Per half jaar",IF(MOD(5-$W30,6)=0,$C30,0),IF($D30="Per kwartaal",IF(MOD(5-$W30,3)=0,$C30,0),$F30))))))</f>
        <v/>
      </c>
      <c r="P30" s="107" t="str">
        <f aca="false">IF($C30="","",IF(Dashboard!$C$4="Gemiddeld per maand",$F30,IF(OR($D30="Per maand",$D30="Per week",$D30=""),$F30,IF($D30="Per jaar",IF(6=$W30,$C30,0),IF($D30="Per half jaar",IF(MOD(6-$W30,6)=0,$C30,0),IF($D30="Per kwartaal",IF(MOD(6-$W30,3)=0,$C30,0),$F30))))))</f>
        <v/>
      </c>
      <c r="Q30" s="107" t="str">
        <f aca="false">IF($C30="","",IF(Dashboard!$C$4="Gemiddeld per maand",$F30,IF(OR($D30="Per maand",$D30="Per week",$D30=""),$F30,IF($D30="Per jaar",IF(7=$W30,$C30,0),IF($D30="Per half jaar",IF(MOD(7-$W30,6)=0,$C30,0),IF($D30="Per kwartaal",IF(MOD(7-$W30,3)=0,$C30,0),$F30))))))</f>
        <v/>
      </c>
      <c r="R30" s="107" t="str">
        <f aca="false">IF($C30="","",IF(Dashboard!$C$4="Gemiddeld per maand",$F30,IF(OR($D30="Per maand",$D30="Per week",$D30=""),$F30,IF($D30="Per jaar",IF(8=$W30,$C30,0),IF($D30="Per half jaar",IF(MOD(8-$W30,6)=0,$C30,0),IF($D30="Per kwartaal",IF(MOD(8-$W30,3)=0,$C30,0),$F30))))))</f>
        <v/>
      </c>
      <c r="S30" s="107" t="str">
        <f aca="false">IF($C30="","",IF(Dashboard!$C$4="Gemiddeld per maand",$F30,IF(OR($D30="Per maand",$D30="Per week",$D30=""),$F30,IF($D30="Per jaar",IF(9=$W30,$C30,0),IF($D30="Per half jaar",IF(MOD(9-$W30,6)=0,$C30,0),IF($D30="Per kwartaal",IF(MOD(9-$W30,3)=0,$C30,0),$F30))))))</f>
        <v/>
      </c>
      <c r="T30" s="107" t="str">
        <f aca="false">IF($C30="","",IF(Dashboard!$C$4="Gemiddeld per maand",$F30,IF(OR($D30="Per maand",$D30="Per week",$D30=""),$F30,IF($D30="Per jaar",IF(10=$W30,$C30,0),IF($D30="Per half jaar",IF(MOD(10-$W30,6)=0,$C30,0),IF($D30="Per kwartaal",IF(MOD(10-$W30,3)=0,$C30,0),$F30))))))</f>
        <v/>
      </c>
      <c r="U30" s="107" t="str">
        <f aca="false">IF($C30="","",IF(Dashboard!$C$4="Gemiddeld per maand",$F30,IF(OR($D30="Per maand",$D30="Per week",$D30=""),$F30,IF($D30="Per jaar",IF(11=$W30,$C30,0),IF($D30="Per half jaar",IF(MOD(11-$W30,6)=0,$C30,0),IF($D30="Per kwartaal",IF(MOD(11-$W30,3)=0,$C30,0),$F30))))))</f>
        <v/>
      </c>
      <c r="V30" s="107" t="str">
        <f aca="false">IF($C30="","",IF(Dashboard!$C$4="Gemiddeld per maand",$F30,IF(OR($D30="Per maand",$D30="Per week",$D30=""),$F30,IF($D30="Per jaar",IF(12=$W30,$C30,0),IF($D30="Per half jaar",IF(MOD(12-$W30,6)=0,$C30,0),IF($D30="Per kwartaal",IF(MOD(12-$W30,3)=0,$C30,0),$F30))))))</f>
        <v/>
      </c>
      <c r="W30" s="15" t="n">
        <f aca="false">IF($E30="",1,IFERROR(MATCH($E30,Lijsten!$K$6:$K$17,0),1))</f>
        <v>1</v>
      </c>
    </row>
    <row r="31" customFormat="false" ht="15" hidden="false" customHeight="false" outlineLevel="0" collapsed="false">
      <c r="A31" s="102"/>
      <c r="B31" s="102"/>
      <c r="C31" s="92"/>
      <c r="D31" s="102"/>
      <c r="E31" s="103"/>
      <c r="F31" s="104" t="str">
        <f aca="false">IF($C31="","",IF($D31="Per jaar",$C31/12,IF($D31="Per kwartaal",$C31/3,IF($D31="Per half jaar",$C31/6,IF($D31="Per week",$C31*52/12,$C31)))))</f>
        <v/>
      </c>
      <c r="G31" s="102"/>
      <c r="H31" s="103"/>
      <c r="I31" s="105"/>
      <c r="J31" s="106" t="str">
        <f aca="false">IF($C31="","",IF(Dashboard!$C$4="Gemiddeld per maand",$F31,IF(OR($D31="Per maand",$D31="Per week",$D31=""),$F31,IF($D31="Per jaar",IF(Dashboard!$N$2=$W31,$C31,0),IF($D31="Per half jaar",IF(MOD(Dashboard!$N$2-$W31,6)=0,$C31,0),IF($D31="Per kwartaal",IF(MOD(Dashboard!$N$2-$W31,3)=0,$C31,0),$F31))))))</f>
        <v/>
      </c>
      <c r="K31" s="107" t="str">
        <f aca="false">IF($C31="","",IF(Dashboard!$C$4="Gemiddeld per maand",$F31,IF(OR($D31="Per maand",$D31="Per week",$D31=""),$F31,IF($D31="Per jaar",IF(1=$W31,$C31,0),IF($D31="Per half jaar",IF(MOD(1-$W31,6)=0,$C31,0),IF($D31="Per kwartaal",IF(MOD(1-$W31,3)=0,$C31,0),$F31))))))</f>
        <v/>
      </c>
      <c r="L31" s="107" t="str">
        <f aca="false">IF($C31="","",IF(Dashboard!$C$4="Gemiddeld per maand",$F31,IF(OR($D31="Per maand",$D31="Per week",$D31=""),$F31,IF($D31="Per jaar",IF(2=$W31,$C31,0),IF($D31="Per half jaar",IF(MOD(2-$W31,6)=0,$C31,0),IF($D31="Per kwartaal",IF(MOD(2-$W31,3)=0,$C31,0),$F31))))))</f>
        <v/>
      </c>
      <c r="M31" s="107" t="str">
        <f aca="false">IF($C31="","",IF(Dashboard!$C$4="Gemiddeld per maand",$F31,IF(OR($D31="Per maand",$D31="Per week",$D31=""),$F31,IF($D31="Per jaar",IF(3=$W31,$C31,0),IF($D31="Per half jaar",IF(MOD(3-$W31,6)=0,$C31,0),IF($D31="Per kwartaal",IF(MOD(3-$W31,3)=0,$C31,0),$F31))))))</f>
        <v/>
      </c>
      <c r="N31" s="107" t="str">
        <f aca="false">IF($C31="","",IF(Dashboard!$C$4="Gemiddeld per maand",$F31,IF(OR($D31="Per maand",$D31="Per week",$D31=""),$F31,IF($D31="Per jaar",IF(4=$W31,$C31,0),IF($D31="Per half jaar",IF(MOD(4-$W31,6)=0,$C31,0),IF($D31="Per kwartaal",IF(MOD(4-$W31,3)=0,$C31,0),$F31))))))</f>
        <v/>
      </c>
      <c r="O31" s="107" t="str">
        <f aca="false">IF($C31="","",IF(Dashboard!$C$4="Gemiddeld per maand",$F31,IF(OR($D31="Per maand",$D31="Per week",$D31=""),$F31,IF($D31="Per jaar",IF(5=$W31,$C31,0),IF($D31="Per half jaar",IF(MOD(5-$W31,6)=0,$C31,0),IF($D31="Per kwartaal",IF(MOD(5-$W31,3)=0,$C31,0),$F31))))))</f>
        <v/>
      </c>
      <c r="P31" s="107" t="str">
        <f aca="false">IF($C31="","",IF(Dashboard!$C$4="Gemiddeld per maand",$F31,IF(OR($D31="Per maand",$D31="Per week",$D31=""),$F31,IF($D31="Per jaar",IF(6=$W31,$C31,0),IF($D31="Per half jaar",IF(MOD(6-$W31,6)=0,$C31,0),IF($D31="Per kwartaal",IF(MOD(6-$W31,3)=0,$C31,0),$F31))))))</f>
        <v/>
      </c>
      <c r="Q31" s="107" t="str">
        <f aca="false">IF($C31="","",IF(Dashboard!$C$4="Gemiddeld per maand",$F31,IF(OR($D31="Per maand",$D31="Per week",$D31=""),$F31,IF($D31="Per jaar",IF(7=$W31,$C31,0),IF($D31="Per half jaar",IF(MOD(7-$W31,6)=0,$C31,0),IF($D31="Per kwartaal",IF(MOD(7-$W31,3)=0,$C31,0),$F31))))))</f>
        <v/>
      </c>
      <c r="R31" s="107" t="str">
        <f aca="false">IF($C31="","",IF(Dashboard!$C$4="Gemiddeld per maand",$F31,IF(OR($D31="Per maand",$D31="Per week",$D31=""),$F31,IF($D31="Per jaar",IF(8=$W31,$C31,0),IF($D31="Per half jaar",IF(MOD(8-$W31,6)=0,$C31,0),IF($D31="Per kwartaal",IF(MOD(8-$W31,3)=0,$C31,0),$F31))))))</f>
        <v/>
      </c>
      <c r="S31" s="107" t="str">
        <f aca="false">IF($C31="","",IF(Dashboard!$C$4="Gemiddeld per maand",$F31,IF(OR($D31="Per maand",$D31="Per week",$D31=""),$F31,IF($D31="Per jaar",IF(9=$W31,$C31,0),IF($D31="Per half jaar",IF(MOD(9-$W31,6)=0,$C31,0),IF($D31="Per kwartaal",IF(MOD(9-$W31,3)=0,$C31,0),$F31))))))</f>
        <v/>
      </c>
      <c r="T31" s="107" t="str">
        <f aca="false">IF($C31="","",IF(Dashboard!$C$4="Gemiddeld per maand",$F31,IF(OR($D31="Per maand",$D31="Per week",$D31=""),$F31,IF($D31="Per jaar",IF(10=$W31,$C31,0),IF($D31="Per half jaar",IF(MOD(10-$W31,6)=0,$C31,0),IF($D31="Per kwartaal",IF(MOD(10-$W31,3)=0,$C31,0),$F31))))))</f>
        <v/>
      </c>
      <c r="U31" s="107" t="str">
        <f aca="false">IF($C31="","",IF(Dashboard!$C$4="Gemiddeld per maand",$F31,IF(OR($D31="Per maand",$D31="Per week",$D31=""),$F31,IF($D31="Per jaar",IF(11=$W31,$C31,0),IF($D31="Per half jaar",IF(MOD(11-$W31,6)=0,$C31,0),IF($D31="Per kwartaal",IF(MOD(11-$W31,3)=0,$C31,0),$F31))))))</f>
        <v/>
      </c>
      <c r="V31" s="107" t="str">
        <f aca="false">IF($C31="","",IF(Dashboard!$C$4="Gemiddeld per maand",$F31,IF(OR($D31="Per maand",$D31="Per week",$D31=""),$F31,IF($D31="Per jaar",IF(12=$W31,$C31,0),IF($D31="Per half jaar",IF(MOD(12-$W31,6)=0,$C31,0),IF($D31="Per kwartaal",IF(MOD(12-$W31,3)=0,$C31,0),$F31))))))</f>
        <v/>
      </c>
      <c r="W31" s="15" t="n">
        <f aca="false">IF($E31="",1,IFERROR(MATCH($E31,Lijsten!$K$6:$K$17,0),1))</f>
        <v>1</v>
      </c>
    </row>
    <row r="32" customFormat="false" ht="15" hidden="false" customHeight="false" outlineLevel="0" collapsed="false">
      <c r="A32" s="102"/>
      <c r="B32" s="102"/>
      <c r="C32" s="92"/>
      <c r="D32" s="102"/>
      <c r="E32" s="103"/>
      <c r="F32" s="104" t="str">
        <f aca="false">IF($C32="","",IF($D32="Per jaar",$C32/12,IF($D32="Per kwartaal",$C32/3,IF($D32="Per half jaar",$C32/6,IF($D32="Per week",$C32*52/12,$C32)))))</f>
        <v/>
      </c>
      <c r="G32" s="102"/>
      <c r="H32" s="103"/>
      <c r="I32" s="105"/>
      <c r="J32" s="106" t="str">
        <f aca="false">IF($C32="","",IF(Dashboard!$C$4="Gemiddeld per maand",$F32,IF(OR($D32="Per maand",$D32="Per week",$D32=""),$F32,IF($D32="Per jaar",IF(Dashboard!$N$2=$W32,$C32,0),IF($D32="Per half jaar",IF(MOD(Dashboard!$N$2-$W32,6)=0,$C32,0),IF($D32="Per kwartaal",IF(MOD(Dashboard!$N$2-$W32,3)=0,$C32,0),$F32))))))</f>
        <v/>
      </c>
      <c r="K32" s="107" t="str">
        <f aca="false">IF($C32="","",IF(Dashboard!$C$4="Gemiddeld per maand",$F32,IF(OR($D32="Per maand",$D32="Per week",$D32=""),$F32,IF($D32="Per jaar",IF(1=$W32,$C32,0),IF($D32="Per half jaar",IF(MOD(1-$W32,6)=0,$C32,0),IF($D32="Per kwartaal",IF(MOD(1-$W32,3)=0,$C32,0),$F32))))))</f>
        <v/>
      </c>
      <c r="L32" s="107" t="str">
        <f aca="false">IF($C32="","",IF(Dashboard!$C$4="Gemiddeld per maand",$F32,IF(OR($D32="Per maand",$D32="Per week",$D32=""),$F32,IF($D32="Per jaar",IF(2=$W32,$C32,0),IF($D32="Per half jaar",IF(MOD(2-$W32,6)=0,$C32,0),IF($D32="Per kwartaal",IF(MOD(2-$W32,3)=0,$C32,0),$F32))))))</f>
        <v/>
      </c>
      <c r="M32" s="107" t="str">
        <f aca="false">IF($C32="","",IF(Dashboard!$C$4="Gemiddeld per maand",$F32,IF(OR($D32="Per maand",$D32="Per week",$D32=""),$F32,IF($D32="Per jaar",IF(3=$W32,$C32,0),IF($D32="Per half jaar",IF(MOD(3-$W32,6)=0,$C32,0),IF($D32="Per kwartaal",IF(MOD(3-$W32,3)=0,$C32,0),$F32))))))</f>
        <v/>
      </c>
      <c r="N32" s="107" t="str">
        <f aca="false">IF($C32="","",IF(Dashboard!$C$4="Gemiddeld per maand",$F32,IF(OR($D32="Per maand",$D32="Per week",$D32=""),$F32,IF($D32="Per jaar",IF(4=$W32,$C32,0),IF($D32="Per half jaar",IF(MOD(4-$W32,6)=0,$C32,0),IF($D32="Per kwartaal",IF(MOD(4-$W32,3)=0,$C32,0),$F32))))))</f>
        <v/>
      </c>
      <c r="O32" s="107" t="str">
        <f aca="false">IF($C32="","",IF(Dashboard!$C$4="Gemiddeld per maand",$F32,IF(OR($D32="Per maand",$D32="Per week",$D32=""),$F32,IF($D32="Per jaar",IF(5=$W32,$C32,0),IF($D32="Per half jaar",IF(MOD(5-$W32,6)=0,$C32,0),IF($D32="Per kwartaal",IF(MOD(5-$W32,3)=0,$C32,0),$F32))))))</f>
        <v/>
      </c>
      <c r="P32" s="107" t="str">
        <f aca="false">IF($C32="","",IF(Dashboard!$C$4="Gemiddeld per maand",$F32,IF(OR($D32="Per maand",$D32="Per week",$D32=""),$F32,IF($D32="Per jaar",IF(6=$W32,$C32,0),IF($D32="Per half jaar",IF(MOD(6-$W32,6)=0,$C32,0),IF($D32="Per kwartaal",IF(MOD(6-$W32,3)=0,$C32,0),$F32))))))</f>
        <v/>
      </c>
      <c r="Q32" s="107" t="str">
        <f aca="false">IF($C32="","",IF(Dashboard!$C$4="Gemiddeld per maand",$F32,IF(OR($D32="Per maand",$D32="Per week",$D32=""),$F32,IF($D32="Per jaar",IF(7=$W32,$C32,0),IF($D32="Per half jaar",IF(MOD(7-$W32,6)=0,$C32,0),IF($D32="Per kwartaal",IF(MOD(7-$W32,3)=0,$C32,0),$F32))))))</f>
        <v/>
      </c>
      <c r="R32" s="107" t="str">
        <f aca="false">IF($C32="","",IF(Dashboard!$C$4="Gemiddeld per maand",$F32,IF(OR($D32="Per maand",$D32="Per week",$D32=""),$F32,IF($D32="Per jaar",IF(8=$W32,$C32,0),IF($D32="Per half jaar",IF(MOD(8-$W32,6)=0,$C32,0),IF($D32="Per kwartaal",IF(MOD(8-$W32,3)=0,$C32,0),$F32))))))</f>
        <v/>
      </c>
      <c r="S32" s="107" t="str">
        <f aca="false">IF($C32="","",IF(Dashboard!$C$4="Gemiddeld per maand",$F32,IF(OR($D32="Per maand",$D32="Per week",$D32=""),$F32,IF($D32="Per jaar",IF(9=$W32,$C32,0),IF($D32="Per half jaar",IF(MOD(9-$W32,6)=0,$C32,0),IF($D32="Per kwartaal",IF(MOD(9-$W32,3)=0,$C32,0),$F32))))))</f>
        <v/>
      </c>
      <c r="T32" s="107" t="str">
        <f aca="false">IF($C32="","",IF(Dashboard!$C$4="Gemiddeld per maand",$F32,IF(OR($D32="Per maand",$D32="Per week",$D32=""),$F32,IF($D32="Per jaar",IF(10=$W32,$C32,0),IF($D32="Per half jaar",IF(MOD(10-$W32,6)=0,$C32,0),IF($D32="Per kwartaal",IF(MOD(10-$W32,3)=0,$C32,0),$F32))))))</f>
        <v/>
      </c>
      <c r="U32" s="107" t="str">
        <f aca="false">IF($C32="","",IF(Dashboard!$C$4="Gemiddeld per maand",$F32,IF(OR($D32="Per maand",$D32="Per week",$D32=""),$F32,IF($D32="Per jaar",IF(11=$W32,$C32,0),IF($D32="Per half jaar",IF(MOD(11-$W32,6)=0,$C32,0),IF($D32="Per kwartaal",IF(MOD(11-$W32,3)=0,$C32,0),$F32))))))</f>
        <v/>
      </c>
      <c r="V32" s="107" t="str">
        <f aca="false">IF($C32="","",IF(Dashboard!$C$4="Gemiddeld per maand",$F32,IF(OR($D32="Per maand",$D32="Per week",$D32=""),$F32,IF($D32="Per jaar",IF(12=$W32,$C32,0),IF($D32="Per half jaar",IF(MOD(12-$W32,6)=0,$C32,0),IF($D32="Per kwartaal",IF(MOD(12-$W32,3)=0,$C32,0),$F32))))))</f>
        <v/>
      </c>
      <c r="W32" s="15" t="n">
        <f aca="false">IF($E32="",1,IFERROR(MATCH($E32,Lijsten!$K$6:$K$17,0),1))</f>
        <v>1</v>
      </c>
    </row>
    <row r="33" customFormat="false" ht="15" hidden="false" customHeight="false" outlineLevel="0" collapsed="false">
      <c r="A33" s="102"/>
      <c r="B33" s="102"/>
      <c r="C33" s="92"/>
      <c r="D33" s="102"/>
      <c r="E33" s="103"/>
      <c r="F33" s="104" t="str">
        <f aca="false">IF($C33="","",IF($D33="Per jaar",$C33/12,IF($D33="Per kwartaal",$C33/3,IF($D33="Per half jaar",$C33/6,IF($D33="Per week",$C33*52/12,$C33)))))</f>
        <v/>
      </c>
      <c r="G33" s="102"/>
      <c r="H33" s="103"/>
      <c r="I33" s="105"/>
      <c r="J33" s="106" t="str">
        <f aca="false">IF($C33="","",IF(Dashboard!$C$4="Gemiddeld per maand",$F33,IF(OR($D33="Per maand",$D33="Per week",$D33=""),$F33,IF($D33="Per jaar",IF(Dashboard!$N$2=$W33,$C33,0),IF($D33="Per half jaar",IF(MOD(Dashboard!$N$2-$W33,6)=0,$C33,0),IF($D33="Per kwartaal",IF(MOD(Dashboard!$N$2-$W33,3)=0,$C33,0),$F33))))))</f>
        <v/>
      </c>
      <c r="K33" s="107" t="str">
        <f aca="false">IF($C33="","",IF(Dashboard!$C$4="Gemiddeld per maand",$F33,IF(OR($D33="Per maand",$D33="Per week",$D33=""),$F33,IF($D33="Per jaar",IF(1=$W33,$C33,0),IF($D33="Per half jaar",IF(MOD(1-$W33,6)=0,$C33,0),IF($D33="Per kwartaal",IF(MOD(1-$W33,3)=0,$C33,0),$F33))))))</f>
        <v/>
      </c>
      <c r="L33" s="107" t="str">
        <f aca="false">IF($C33="","",IF(Dashboard!$C$4="Gemiddeld per maand",$F33,IF(OR($D33="Per maand",$D33="Per week",$D33=""),$F33,IF($D33="Per jaar",IF(2=$W33,$C33,0),IF($D33="Per half jaar",IF(MOD(2-$W33,6)=0,$C33,0),IF($D33="Per kwartaal",IF(MOD(2-$W33,3)=0,$C33,0),$F33))))))</f>
        <v/>
      </c>
      <c r="M33" s="107" t="str">
        <f aca="false">IF($C33="","",IF(Dashboard!$C$4="Gemiddeld per maand",$F33,IF(OR($D33="Per maand",$D33="Per week",$D33=""),$F33,IF($D33="Per jaar",IF(3=$W33,$C33,0),IF($D33="Per half jaar",IF(MOD(3-$W33,6)=0,$C33,0),IF($D33="Per kwartaal",IF(MOD(3-$W33,3)=0,$C33,0),$F33))))))</f>
        <v/>
      </c>
      <c r="N33" s="107" t="str">
        <f aca="false">IF($C33="","",IF(Dashboard!$C$4="Gemiddeld per maand",$F33,IF(OR($D33="Per maand",$D33="Per week",$D33=""),$F33,IF($D33="Per jaar",IF(4=$W33,$C33,0),IF($D33="Per half jaar",IF(MOD(4-$W33,6)=0,$C33,0),IF($D33="Per kwartaal",IF(MOD(4-$W33,3)=0,$C33,0),$F33))))))</f>
        <v/>
      </c>
      <c r="O33" s="107" t="str">
        <f aca="false">IF($C33="","",IF(Dashboard!$C$4="Gemiddeld per maand",$F33,IF(OR($D33="Per maand",$D33="Per week",$D33=""),$F33,IF($D33="Per jaar",IF(5=$W33,$C33,0),IF($D33="Per half jaar",IF(MOD(5-$W33,6)=0,$C33,0),IF($D33="Per kwartaal",IF(MOD(5-$W33,3)=0,$C33,0),$F33))))))</f>
        <v/>
      </c>
      <c r="P33" s="107" t="str">
        <f aca="false">IF($C33="","",IF(Dashboard!$C$4="Gemiddeld per maand",$F33,IF(OR($D33="Per maand",$D33="Per week",$D33=""),$F33,IF($D33="Per jaar",IF(6=$W33,$C33,0),IF($D33="Per half jaar",IF(MOD(6-$W33,6)=0,$C33,0),IF($D33="Per kwartaal",IF(MOD(6-$W33,3)=0,$C33,0),$F33))))))</f>
        <v/>
      </c>
      <c r="Q33" s="107" t="str">
        <f aca="false">IF($C33="","",IF(Dashboard!$C$4="Gemiddeld per maand",$F33,IF(OR($D33="Per maand",$D33="Per week",$D33=""),$F33,IF($D33="Per jaar",IF(7=$W33,$C33,0),IF($D33="Per half jaar",IF(MOD(7-$W33,6)=0,$C33,0),IF($D33="Per kwartaal",IF(MOD(7-$W33,3)=0,$C33,0),$F33))))))</f>
        <v/>
      </c>
      <c r="R33" s="107" t="str">
        <f aca="false">IF($C33="","",IF(Dashboard!$C$4="Gemiddeld per maand",$F33,IF(OR($D33="Per maand",$D33="Per week",$D33=""),$F33,IF($D33="Per jaar",IF(8=$W33,$C33,0),IF($D33="Per half jaar",IF(MOD(8-$W33,6)=0,$C33,0),IF($D33="Per kwartaal",IF(MOD(8-$W33,3)=0,$C33,0),$F33))))))</f>
        <v/>
      </c>
      <c r="S33" s="107" t="str">
        <f aca="false">IF($C33="","",IF(Dashboard!$C$4="Gemiddeld per maand",$F33,IF(OR($D33="Per maand",$D33="Per week",$D33=""),$F33,IF($D33="Per jaar",IF(9=$W33,$C33,0),IF($D33="Per half jaar",IF(MOD(9-$W33,6)=0,$C33,0),IF($D33="Per kwartaal",IF(MOD(9-$W33,3)=0,$C33,0),$F33))))))</f>
        <v/>
      </c>
      <c r="T33" s="107" t="str">
        <f aca="false">IF($C33="","",IF(Dashboard!$C$4="Gemiddeld per maand",$F33,IF(OR($D33="Per maand",$D33="Per week",$D33=""),$F33,IF($D33="Per jaar",IF(10=$W33,$C33,0),IF($D33="Per half jaar",IF(MOD(10-$W33,6)=0,$C33,0),IF($D33="Per kwartaal",IF(MOD(10-$W33,3)=0,$C33,0),$F33))))))</f>
        <v/>
      </c>
      <c r="U33" s="107" t="str">
        <f aca="false">IF($C33="","",IF(Dashboard!$C$4="Gemiddeld per maand",$F33,IF(OR($D33="Per maand",$D33="Per week",$D33=""),$F33,IF($D33="Per jaar",IF(11=$W33,$C33,0),IF($D33="Per half jaar",IF(MOD(11-$W33,6)=0,$C33,0),IF($D33="Per kwartaal",IF(MOD(11-$W33,3)=0,$C33,0),$F33))))))</f>
        <v/>
      </c>
      <c r="V33" s="107" t="str">
        <f aca="false">IF($C33="","",IF(Dashboard!$C$4="Gemiddeld per maand",$F33,IF(OR($D33="Per maand",$D33="Per week",$D33=""),$F33,IF($D33="Per jaar",IF(12=$W33,$C33,0),IF($D33="Per half jaar",IF(MOD(12-$W33,6)=0,$C33,0),IF($D33="Per kwartaal",IF(MOD(12-$W33,3)=0,$C33,0),$F33))))))</f>
        <v/>
      </c>
      <c r="W33" s="15" t="n">
        <f aca="false">IF($E33="",1,IFERROR(MATCH($E33,Lijsten!$K$6:$K$17,0),1))</f>
        <v>1</v>
      </c>
    </row>
    <row r="34" customFormat="false" ht="15" hidden="false" customHeight="false" outlineLevel="0" collapsed="false">
      <c r="A34" s="102"/>
      <c r="B34" s="102"/>
      <c r="C34" s="92"/>
      <c r="D34" s="102"/>
      <c r="E34" s="103"/>
      <c r="F34" s="104" t="str">
        <f aca="false">IF($C34="","",IF($D34="Per jaar",$C34/12,IF($D34="Per kwartaal",$C34/3,IF($D34="Per half jaar",$C34/6,IF($D34="Per week",$C34*52/12,$C34)))))</f>
        <v/>
      </c>
      <c r="G34" s="102"/>
      <c r="H34" s="103"/>
      <c r="I34" s="105"/>
      <c r="J34" s="106" t="str">
        <f aca="false">IF($C34="","",IF(Dashboard!$C$4="Gemiddeld per maand",$F34,IF(OR($D34="Per maand",$D34="Per week",$D34=""),$F34,IF($D34="Per jaar",IF(Dashboard!$N$2=$W34,$C34,0),IF($D34="Per half jaar",IF(MOD(Dashboard!$N$2-$W34,6)=0,$C34,0),IF($D34="Per kwartaal",IF(MOD(Dashboard!$N$2-$W34,3)=0,$C34,0),$F34))))))</f>
        <v/>
      </c>
      <c r="K34" s="107" t="str">
        <f aca="false">IF($C34="","",IF(Dashboard!$C$4="Gemiddeld per maand",$F34,IF(OR($D34="Per maand",$D34="Per week",$D34=""),$F34,IF($D34="Per jaar",IF(1=$W34,$C34,0),IF($D34="Per half jaar",IF(MOD(1-$W34,6)=0,$C34,0),IF($D34="Per kwartaal",IF(MOD(1-$W34,3)=0,$C34,0),$F34))))))</f>
        <v/>
      </c>
      <c r="L34" s="107" t="str">
        <f aca="false">IF($C34="","",IF(Dashboard!$C$4="Gemiddeld per maand",$F34,IF(OR($D34="Per maand",$D34="Per week",$D34=""),$F34,IF($D34="Per jaar",IF(2=$W34,$C34,0),IF($D34="Per half jaar",IF(MOD(2-$W34,6)=0,$C34,0),IF($D34="Per kwartaal",IF(MOD(2-$W34,3)=0,$C34,0),$F34))))))</f>
        <v/>
      </c>
      <c r="M34" s="107" t="str">
        <f aca="false">IF($C34="","",IF(Dashboard!$C$4="Gemiddeld per maand",$F34,IF(OR($D34="Per maand",$D34="Per week",$D34=""),$F34,IF($D34="Per jaar",IF(3=$W34,$C34,0),IF($D34="Per half jaar",IF(MOD(3-$W34,6)=0,$C34,0),IF($D34="Per kwartaal",IF(MOD(3-$W34,3)=0,$C34,0),$F34))))))</f>
        <v/>
      </c>
      <c r="N34" s="107" t="str">
        <f aca="false">IF($C34="","",IF(Dashboard!$C$4="Gemiddeld per maand",$F34,IF(OR($D34="Per maand",$D34="Per week",$D34=""),$F34,IF($D34="Per jaar",IF(4=$W34,$C34,0),IF($D34="Per half jaar",IF(MOD(4-$W34,6)=0,$C34,0),IF($D34="Per kwartaal",IF(MOD(4-$W34,3)=0,$C34,0),$F34))))))</f>
        <v/>
      </c>
      <c r="O34" s="107" t="str">
        <f aca="false">IF($C34="","",IF(Dashboard!$C$4="Gemiddeld per maand",$F34,IF(OR($D34="Per maand",$D34="Per week",$D34=""),$F34,IF($D34="Per jaar",IF(5=$W34,$C34,0),IF($D34="Per half jaar",IF(MOD(5-$W34,6)=0,$C34,0),IF($D34="Per kwartaal",IF(MOD(5-$W34,3)=0,$C34,0),$F34))))))</f>
        <v/>
      </c>
      <c r="P34" s="107" t="str">
        <f aca="false">IF($C34="","",IF(Dashboard!$C$4="Gemiddeld per maand",$F34,IF(OR($D34="Per maand",$D34="Per week",$D34=""),$F34,IF($D34="Per jaar",IF(6=$W34,$C34,0),IF($D34="Per half jaar",IF(MOD(6-$W34,6)=0,$C34,0),IF($D34="Per kwartaal",IF(MOD(6-$W34,3)=0,$C34,0),$F34))))))</f>
        <v/>
      </c>
      <c r="Q34" s="107" t="str">
        <f aca="false">IF($C34="","",IF(Dashboard!$C$4="Gemiddeld per maand",$F34,IF(OR($D34="Per maand",$D34="Per week",$D34=""),$F34,IF($D34="Per jaar",IF(7=$W34,$C34,0),IF($D34="Per half jaar",IF(MOD(7-$W34,6)=0,$C34,0),IF($D34="Per kwartaal",IF(MOD(7-$W34,3)=0,$C34,0),$F34))))))</f>
        <v/>
      </c>
      <c r="R34" s="107" t="str">
        <f aca="false">IF($C34="","",IF(Dashboard!$C$4="Gemiddeld per maand",$F34,IF(OR($D34="Per maand",$D34="Per week",$D34=""),$F34,IF($D34="Per jaar",IF(8=$W34,$C34,0),IF($D34="Per half jaar",IF(MOD(8-$W34,6)=0,$C34,0),IF($D34="Per kwartaal",IF(MOD(8-$W34,3)=0,$C34,0),$F34))))))</f>
        <v/>
      </c>
      <c r="S34" s="107" t="str">
        <f aca="false">IF($C34="","",IF(Dashboard!$C$4="Gemiddeld per maand",$F34,IF(OR($D34="Per maand",$D34="Per week",$D34=""),$F34,IF($D34="Per jaar",IF(9=$W34,$C34,0),IF($D34="Per half jaar",IF(MOD(9-$W34,6)=0,$C34,0),IF($D34="Per kwartaal",IF(MOD(9-$W34,3)=0,$C34,0),$F34))))))</f>
        <v/>
      </c>
      <c r="T34" s="107" t="str">
        <f aca="false">IF($C34="","",IF(Dashboard!$C$4="Gemiddeld per maand",$F34,IF(OR($D34="Per maand",$D34="Per week",$D34=""),$F34,IF($D34="Per jaar",IF(10=$W34,$C34,0),IF($D34="Per half jaar",IF(MOD(10-$W34,6)=0,$C34,0),IF($D34="Per kwartaal",IF(MOD(10-$W34,3)=0,$C34,0),$F34))))))</f>
        <v/>
      </c>
      <c r="U34" s="107" t="str">
        <f aca="false">IF($C34="","",IF(Dashboard!$C$4="Gemiddeld per maand",$F34,IF(OR($D34="Per maand",$D34="Per week",$D34=""),$F34,IF($D34="Per jaar",IF(11=$W34,$C34,0),IF($D34="Per half jaar",IF(MOD(11-$W34,6)=0,$C34,0),IF($D34="Per kwartaal",IF(MOD(11-$W34,3)=0,$C34,0),$F34))))))</f>
        <v/>
      </c>
      <c r="V34" s="107" t="str">
        <f aca="false">IF($C34="","",IF(Dashboard!$C$4="Gemiddeld per maand",$F34,IF(OR($D34="Per maand",$D34="Per week",$D34=""),$F34,IF($D34="Per jaar",IF(12=$W34,$C34,0),IF($D34="Per half jaar",IF(MOD(12-$W34,6)=0,$C34,0),IF($D34="Per kwartaal",IF(MOD(12-$W34,3)=0,$C34,0),$F34))))))</f>
        <v/>
      </c>
      <c r="W34" s="15" t="n">
        <f aca="false">IF($E34="",1,IFERROR(MATCH($E34,Lijsten!$K$6:$K$17,0),1))</f>
        <v>1</v>
      </c>
    </row>
    <row r="35" customFormat="false" ht="15" hidden="false" customHeight="false" outlineLevel="0" collapsed="false">
      <c r="A35" s="102"/>
      <c r="B35" s="102"/>
      <c r="C35" s="92"/>
      <c r="D35" s="102"/>
      <c r="E35" s="103"/>
      <c r="F35" s="104" t="str">
        <f aca="false">IF($C35="","",IF($D35="Per jaar",$C35/12,IF($D35="Per kwartaal",$C35/3,IF($D35="Per half jaar",$C35/6,IF($D35="Per week",$C35*52/12,$C35)))))</f>
        <v/>
      </c>
      <c r="G35" s="102"/>
      <c r="H35" s="103"/>
      <c r="I35" s="105"/>
      <c r="J35" s="106" t="str">
        <f aca="false">IF($C35="","",IF(Dashboard!$C$4="Gemiddeld per maand",$F35,IF(OR($D35="Per maand",$D35="Per week",$D35=""),$F35,IF($D35="Per jaar",IF(Dashboard!$N$2=$W35,$C35,0),IF($D35="Per half jaar",IF(MOD(Dashboard!$N$2-$W35,6)=0,$C35,0),IF($D35="Per kwartaal",IF(MOD(Dashboard!$N$2-$W35,3)=0,$C35,0),$F35))))))</f>
        <v/>
      </c>
      <c r="K35" s="107" t="str">
        <f aca="false">IF($C35="","",IF(Dashboard!$C$4="Gemiddeld per maand",$F35,IF(OR($D35="Per maand",$D35="Per week",$D35=""),$F35,IF($D35="Per jaar",IF(1=$W35,$C35,0),IF($D35="Per half jaar",IF(MOD(1-$W35,6)=0,$C35,0),IF($D35="Per kwartaal",IF(MOD(1-$W35,3)=0,$C35,0),$F35))))))</f>
        <v/>
      </c>
      <c r="L35" s="107" t="str">
        <f aca="false">IF($C35="","",IF(Dashboard!$C$4="Gemiddeld per maand",$F35,IF(OR($D35="Per maand",$D35="Per week",$D35=""),$F35,IF($D35="Per jaar",IF(2=$W35,$C35,0),IF($D35="Per half jaar",IF(MOD(2-$W35,6)=0,$C35,0),IF($D35="Per kwartaal",IF(MOD(2-$W35,3)=0,$C35,0),$F35))))))</f>
        <v/>
      </c>
      <c r="M35" s="107" t="str">
        <f aca="false">IF($C35="","",IF(Dashboard!$C$4="Gemiddeld per maand",$F35,IF(OR($D35="Per maand",$D35="Per week",$D35=""),$F35,IF($D35="Per jaar",IF(3=$W35,$C35,0),IF($D35="Per half jaar",IF(MOD(3-$W35,6)=0,$C35,0),IF($D35="Per kwartaal",IF(MOD(3-$W35,3)=0,$C35,0),$F35))))))</f>
        <v/>
      </c>
      <c r="N35" s="107" t="str">
        <f aca="false">IF($C35="","",IF(Dashboard!$C$4="Gemiddeld per maand",$F35,IF(OR($D35="Per maand",$D35="Per week",$D35=""),$F35,IF($D35="Per jaar",IF(4=$W35,$C35,0),IF($D35="Per half jaar",IF(MOD(4-$W35,6)=0,$C35,0),IF($D35="Per kwartaal",IF(MOD(4-$W35,3)=0,$C35,0),$F35))))))</f>
        <v/>
      </c>
      <c r="O35" s="107" t="str">
        <f aca="false">IF($C35="","",IF(Dashboard!$C$4="Gemiddeld per maand",$F35,IF(OR($D35="Per maand",$D35="Per week",$D35=""),$F35,IF($D35="Per jaar",IF(5=$W35,$C35,0),IF($D35="Per half jaar",IF(MOD(5-$W35,6)=0,$C35,0),IF($D35="Per kwartaal",IF(MOD(5-$W35,3)=0,$C35,0),$F35))))))</f>
        <v/>
      </c>
      <c r="P35" s="107" t="str">
        <f aca="false">IF($C35="","",IF(Dashboard!$C$4="Gemiddeld per maand",$F35,IF(OR($D35="Per maand",$D35="Per week",$D35=""),$F35,IF($D35="Per jaar",IF(6=$W35,$C35,0),IF($D35="Per half jaar",IF(MOD(6-$W35,6)=0,$C35,0),IF($D35="Per kwartaal",IF(MOD(6-$W35,3)=0,$C35,0),$F35))))))</f>
        <v/>
      </c>
      <c r="Q35" s="107" t="str">
        <f aca="false">IF($C35="","",IF(Dashboard!$C$4="Gemiddeld per maand",$F35,IF(OR($D35="Per maand",$D35="Per week",$D35=""),$F35,IF($D35="Per jaar",IF(7=$W35,$C35,0),IF($D35="Per half jaar",IF(MOD(7-$W35,6)=0,$C35,0),IF($D35="Per kwartaal",IF(MOD(7-$W35,3)=0,$C35,0),$F35))))))</f>
        <v/>
      </c>
      <c r="R35" s="107" t="str">
        <f aca="false">IF($C35="","",IF(Dashboard!$C$4="Gemiddeld per maand",$F35,IF(OR($D35="Per maand",$D35="Per week",$D35=""),$F35,IF($D35="Per jaar",IF(8=$W35,$C35,0),IF($D35="Per half jaar",IF(MOD(8-$W35,6)=0,$C35,0),IF($D35="Per kwartaal",IF(MOD(8-$W35,3)=0,$C35,0),$F35))))))</f>
        <v/>
      </c>
      <c r="S35" s="107" t="str">
        <f aca="false">IF($C35="","",IF(Dashboard!$C$4="Gemiddeld per maand",$F35,IF(OR($D35="Per maand",$D35="Per week",$D35=""),$F35,IF($D35="Per jaar",IF(9=$W35,$C35,0),IF($D35="Per half jaar",IF(MOD(9-$W35,6)=0,$C35,0),IF($D35="Per kwartaal",IF(MOD(9-$W35,3)=0,$C35,0),$F35))))))</f>
        <v/>
      </c>
      <c r="T35" s="107" t="str">
        <f aca="false">IF($C35="","",IF(Dashboard!$C$4="Gemiddeld per maand",$F35,IF(OR($D35="Per maand",$D35="Per week",$D35=""),$F35,IF($D35="Per jaar",IF(10=$W35,$C35,0),IF($D35="Per half jaar",IF(MOD(10-$W35,6)=0,$C35,0),IF($D35="Per kwartaal",IF(MOD(10-$W35,3)=0,$C35,0),$F35))))))</f>
        <v/>
      </c>
      <c r="U35" s="107" t="str">
        <f aca="false">IF($C35="","",IF(Dashboard!$C$4="Gemiddeld per maand",$F35,IF(OR($D35="Per maand",$D35="Per week",$D35=""),$F35,IF($D35="Per jaar",IF(11=$W35,$C35,0),IF($D35="Per half jaar",IF(MOD(11-$W35,6)=0,$C35,0),IF($D35="Per kwartaal",IF(MOD(11-$W35,3)=0,$C35,0),$F35))))))</f>
        <v/>
      </c>
      <c r="V35" s="107" t="str">
        <f aca="false">IF($C35="","",IF(Dashboard!$C$4="Gemiddeld per maand",$F35,IF(OR($D35="Per maand",$D35="Per week",$D35=""),$F35,IF($D35="Per jaar",IF(12=$W35,$C35,0),IF($D35="Per half jaar",IF(MOD(12-$W35,6)=0,$C35,0),IF($D35="Per kwartaal",IF(MOD(12-$W35,3)=0,$C35,0),$F35))))))</f>
        <v/>
      </c>
      <c r="W35" s="15" t="n">
        <f aca="false">IF($E35="",1,IFERROR(MATCH($E35,Lijsten!$K$6:$K$17,0),1))</f>
        <v>1</v>
      </c>
    </row>
    <row r="36" customFormat="false" ht="15" hidden="false" customHeight="false" outlineLevel="0" collapsed="false">
      <c r="A36" s="102"/>
      <c r="B36" s="102"/>
      <c r="C36" s="92"/>
      <c r="D36" s="102"/>
      <c r="E36" s="103"/>
      <c r="F36" s="104" t="str">
        <f aca="false">IF($C36="","",IF($D36="Per jaar",$C36/12,IF($D36="Per kwartaal",$C36/3,IF($D36="Per half jaar",$C36/6,IF($D36="Per week",$C36*52/12,$C36)))))</f>
        <v/>
      </c>
      <c r="G36" s="102"/>
      <c r="H36" s="103"/>
      <c r="I36" s="105"/>
      <c r="J36" s="106" t="str">
        <f aca="false">IF($C36="","",IF(Dashboard!$C$4="Gemiddeld per maand",$F36,IF(OR($D36="Per maand",$D36="Per week",$D36=""),$F36,IF($D36="Per jaar",IF(Dashboard!$N$2=$W36,$C36,0),IF($D36="Per half jaar",IF(MOD(Dashboard!$N$2-$W36,6)=0,$C36,0),IF($D36="Per kwartaal",IF(MOD(Dashboard!$N$2-$W36,3)=0,$C36,0),$F36))))))</f>
        <v/>
      </c>
      <c r="K36" s="107" t="str">
        <f aca="false">IF($C36="","",IF(Dashboard!$C$4="Gemiddeld per maand",$F36,IF(OR($D36="Per maand",$D36="Per week",$D36=""),$F36,IF($D36="Per jaar",IF(1=$W36,$C36,0),IF($D36="Per half jaar",IF(MOD(1-$W36,6)=0,$C36,0),IF($D36="Per kwartaal",IF(MOD(1-$W36,3)=0,$C36,0),$F36))))))</f>
        <v/>
      </c>
      <c r="L36" s="107" t="str">
        <f aca="false">IF($C36="","",IF(Dashboard!$C$4="Gemiddeld per maand",$F36,IF(OR($D36="Per maand",$D36="Per week",$D36=""),$F36,IF($D36="Per jaar",IF(2=$W36,$C36,0),IF($D36="Per half jaar",IF(MOD(2-$W36,6)=0,$C36,0),IF($D36="Per kwartaal",IF(MOD(2-$W36,3)=0,$C36,0),$F36))))))</f>
        <v/>
      </c>
      <c r="M36" s="107" t="str">
        <f aca="false">IF($C36="","",IF(Dashboard!$C$4="Gemiddeld per maand",$F36,IF(OR($D36="Per maand",$D36="Per week",$D36=""),$F36,IF($D36="Per jaar",IF(3=$W36,$C36,0),IF($D36="Per half jaar",IF(MOD(3-$W36,6)=0,$C36,0),IF($D36="Per kwartaal",IF(MOD(3-$W36,3)=0,$C36,0),$F36))))))</f>
        <v/>
      </c>
      <c r="N36" s="107" t="str">
        <f aca="false">IF($C36="","",IF(Dashboard!$C$4="Gemiddeld per maand",$F36,IF(OR($D36="Per maand",$D36="Per week",$D36=""),$F36,IF($D36="Per jaar",IF(4=$W36,$C36,0),IF($D36="Per half jaar",IF(MOD(4-$W36,6)=0,$C36,0),IF($D36="Per kwartaal",IF(MOD(4-$W36,3)=0,$C36,0),$F36))))))</f>
        <v/>
      </c>
      <c r="O36" s="107" t="str">
        <f aca="false">IF($C36="","",IF(Dashboard!$C$4="Gemiddeld per maand",$F36,IF(OR($D36="Per maand",$D36="Per week",$D36=""),$F36,IF($D36="Per jaar",IF(5=$W36,$C36,0),IF($D36="Per half jaar",IF(MOD(5-$W36,6)=0,$C36,0),IF($D36="Per kwartaal",IF(MOD(5-$W36,3)=0,$C36,0),$F36))))))</f>
        <v/>
      </c>
      <c r="P36" s="107" t="str">
        <f aca="false">IF($C36="","",IF(Dashboard!$C$4="Gemiddeld per maand",$F36,IF(OR($D36="Per maand",$D36="Per week",$D36=""),$F36,IF($D36="Per jaar",IF(6=$W36,$C36,0),IF($D36="Per half jaar",IF(MOD(6-$W36,6)=0,$C36,0),IF($D36="Per kwartaal",IF(MOD(6-$W36,3)=0,$C36,0),$F36))))))</f>
        <v/>
      </c>
      <c r="Q36" s="107" t="str">
        <f aca="false">IF($C36="","",IF(Dashboard!$C$4="Gemiddeld per maand",$F36,IF(OR($D36="Per maand",$D36="Per week",$D36=""),$F36,IF($D36="Per jaar",IF(7=$W36,$C36,0),IF($D36="Per half jaar",IF(MOD(7-$W36,6)=0,$C36,0),IF($D36="Per kwartaal",IF(MOD(7-$W36,3)=0,$C36,0),$F36))))))</f>
        <v/>
      </c>
      <c r="R36" s="107" t="str">
        <f aca="false">IF($C36="","",IF(Dashboard!$C$4="Gemiddeld per maand",$F36,IF(OR($D36="Per maand",$D36="Per week",$D36=""),$F36,IF($D36="Per jaar",IF(8=$W36,$C36,0),IF($D36="Per half jaar",IF(MOD(8-$W36,6)=0,$C36,0),IF($D36="Per kwartaal",IF(MOD(8-$W36,3)=0,$C36,0),$F36))))))</f>
        <v/>
      </c>
      <c r="S36" s="107" t="str">
        <f aca="false">IF($C36="","",IF(Dashboard!$C$4="Gemiddeld per maand",$F36,IF(OR($D36="Per maand",$D36="Per week",$D36=""),$F36,IF($D36="Per jaar",IF(9=$W36,$C36,0),IF($D36="Per half jaar",IF(MOD(9-$W36,6)=0,$C36,0),IF($D36="Per kwartaal",IF(MOD(9-$W36,3)=0,$C36,0),$F36))))))</f>
        <v/>
      </c>
      <c r="T36" s="107" t="str">
        <f aca="false">IF($C36="","",IF(Dashboard!$C$4="Gemiddeld per maand",$F36,IF(OR($D36="Per maand",$D36="Per week",$D36=""),$F36,IF($D36="Per jaar",IF(10=$W36,$C36,0),IF($D36="Per half jaar",IF(MOD(10-$W36,6)=0,$C36,0),IF($D36="Per kwartaal",IF(MOD(10-$W36,3)=0,$C36,0),$F36))))))</f>
        <v/>
      </c>
      <c r="U36" s="107" t="str">
        <f aca="false">IF($C36="","",IF(Dashboard!$C$4="Gemiddeld per maand",$F36,IF(OR($D36="Per maand",$D36="Per week",$D36=""),$F36,IF($D36="Per jaar",IF(11=$W36,$C36,0),IF($D36="Per half jaar",IF(MOD(11-$W36,6)=0,$C36,0),IF($D36="Per kwartaal",IF(MOD(11-$W36,3)=0,$C36,0),$F36))))))</f>
        <v/>
      </c>
      <c r="V36" s="107" t="str">
        <f aca="false">IF($C36="","",IF(Dashboard!$C$4="Gemiddeld per maand",$F36,IF(OR($D36="Per maand",$D36="Per week",$D36=""),$F36,IF($D36="Per jaar",IF(12=$W36,$C36,0),IF($D36="Per half jaar",IF(MOD(12-$W36,6)=0,$C36,0),IF($D36="Per kwartaal",IF(MOD(12-$W36,3)=0,$C36,0),$F36))))))</f>
        <v/>
      </c>
      <c r="W36" s="15" t="n">
        <f aca="false">IF($E36="",1,IFERROR(MATCH($E36,Lijsten!$K$6:$K$17,0),1))</f>
        <v>1</v>
      </c>
    </row>
    <row r="37" customFormat="false" ht="15" hidden="false" customHeight="false" outlineLevel="0" collapsed="false">
      <c r="A37" s="102"/>
      <c r="B37" s="102"/>
      <c r="C37" s="92"/>
      <c r="D37" s="102"/>
      <c r="E37" s="103"/>
      <c r="F37" s="104" t="str">
        <f aca="false">IF($C37="","",IF($D37="Per jaar",$C37/12,IF($D37="Per kwartaal",$C37/3,IF($D37="Per half jaar",$C37/6,IF($D37="Per week",$C37*52/12,$C37)))))</f>
        <v/>
      </c>
      <c r="G37" s="102"/>
      <c r="H37" s="103"/>
      <c r="I37" s="105"/>
      <c r="J37" s="106" t="str">
        <f aca="false">IF($C37="","",IF(Dashboard!$C$4="Gemiddeld per maand",$F37,IF(OR($D37="Per maand",$D37="Per week",$D37=""),$F37,IF($D37="Per jaar",IF(Dashboard!$N$2=$W37,$C37,0),IF($D37="Per half jaar",IF(MOD(Dashboard!$N$2-$W37,6)=0,$C37,0),IF($D37="Per kwartaal",IF(MOD(Dashboard!$N$2-$W37,3)=0,$C37,0),$F37))))))</f>
        <v/>
      </c>
      <c r="K37" s="107" t="str">
        <f aca="false">IF($C37="","",IF(Dashboard!$C$4="Gemiddeld per maand",$F37,IF(OR($D37="Per maand",$D37="Per week",$D37=""),$F37,IF($D37="Per jaar",IF(1=$W37,$C37,0),IF($D37="Per half jaar",IF(MOD(1-$W37,6)=0,$C37,0),IF($D37="Per kwartaal",IF(MOD(1-$W37,3)=0,$C37,0),$F37))))))</f>
        <v/>
      </c>
      <c r="L37" s="107" t="str">
        <f aca="false">IF($C37="","",IF(Dashboard!$C$4="Gemiddeld per maand",$F37,IF(OR($D37="Per maand",$D37="Per week",$D37=""),$F37,IF($D37="Per jaar",IF(2=$W37,$C37,0),IF($D37="Per half jaar",IF(MOD(2-$W37,6)=0,$C37,0),IF($D37="Per kwartaal",IF(MOD(2-$W37,3)=0,$C37,0),$F37))))))</f>
        <v/>
      </c>
      <c r="M37" s="107" t="str">
        <f aca="false">IF($C37="","",IF(Dashboard!$C$4="Gemiddeld per maand",$F37,IF(OR($D37="Per maand",$D37="Per week",$D37=""),$F37,IF($D37="Per jaar",IF(3=$W37,$C37,0),IF($D37="Per half jaar",IF(MOD(3-$W37,6)=0,$C37,0),IF($D37="Per kwartaal",IF(MOD(3-$W37,3)=0,$C37,0),$F37))))))</f>
        <v/>
      </c>
      <c r="N37" s="107" t="str">
        <f aca="false">IF($C37="","",IF(Dashboard!$C$4="Gemiddeld per maand",$F37,IF(OR($D37="Per maand",$D37="Per week",$D37=""),$F37,IF($D37="Per jaar",IF(4=$W37,$C37,0),IF($D37="Per half jaar",IF(MOD(4-$W37,6)=0,$C37,0),IF($D37="Per kwartaal",IF(MOD(4-$W37,3)=0,$C37,0),$F37))))))</f>
        <v/>
      </c>
      <c r="O37" s="107" t="str">
        <f aca="false">IF($C37="","",IF(Dashboard!$C$4="Gemiddeld per maand",$F37,IF(OR($D37="Per maand",$D37="Per week",$D37=""),$F37,IF($D37="Per jaar",IF(5=$W37,$C37,0),IF($D37="Per half jaar",IF(MOD(5-$W37,6)=0,$C37,0),IF($D37="Per kwartaal",IF(MOD(5-$W37,3)=0,$C37,0),$F37))))))</f>
        <v/>
      </c>
      <c r="P37" s="107" t="str">
        <f aca="false">IF($C37="","",IF(Dashboard!$C$4="Gemiddeld per maand",$F37,IF(OR($D37="Per maand",$D37="Per week",$D37=""),$F37,IF($D37="Per jaar",IF(6=$W37,$C37,0),IF($D37="Per half jaar",IF(MOD(6-$W37,6)=0,$C37,0),IF($D37="Per kwartaal",IF(MOD(6-$W37,3)=0,$C37,0),$F37))))))</f>
        <v/>
      </c>
      <c r="Q37" s="107" t="str">
        <f aca="false">IF($C37="","",IF(Dashboard!$C$4="Gemiddeld per maand",$F37,IF(OR($D37="Per maand",$D37="Per week",$D37=""),$F37,IF($D37="Per jaar",IF(7=$W37,$C37,0),IF($D37="Per half jaar",IF(MOD(7-$W37,6)=0,$C37,0),IF($D37="Per kwartaal",IF(MOD(7-$W37,3)=0,$C37,0),$F37))))))</f>
        <v/>
      </c>
      <c r="R37" s="107" t="str">
        <f aca="false">IF($C37="","",IF(Dashboard!$C$4="Gemiddeld per maand",$F37,IF(OR($D37="Per maand",$D37="Per week",$D37=""),$F37,IF($D37="Per jaar",IF(8=$W37,$C37,0),IF($D37="Per half jaar",IF(MOD(8-$W37,6)=0,$C37,0),IF($D37="Per kwartaal",IF(MOD(8-$W37,3)=0,$C37,0),$F37))))))</f>
        <v/>
      </c>
      <c r="S37" s="107" t="str">
        <f aca="false">IF($C37="","",IF(Dashboard!$C$4="Gemiddeld per maand",$F37,IF(OR($D37="Per maand",$D37="Per week",$D37=""),$F37,IF($D37="Per jaar",IF(9=$W37,$C37,0),IF($D37="Per half jaar",IF(MOD(9-$W37,6)=0,$C37,0),IF($D37="Per kwartaal",IF(MOD(9-$W37,3)=0,$C37,0),$F37))))))</f>
        <v/>
      </c>
      <c r="T37" s="107" t="str">
        <f aca="false">IF($C37="","",IF(Dashboard!$C$4="Gemiddeld per maand",$F37,IF(OR($D37="Per maand",$D37="Per week",$D37=""),$F37,IF($D37="Per jaar",IF(10=$W37,$C37,0),IF($D37="Per half jaar",IF(MOD(10-$W37,6)=0,$C37,0),IF($D37="Per kwartaal",IF(MOD(10-$W37,3)=0,$C37,0),$F37))))))</f>
        <v/>
      </c>
      <c r="U37" s="107" t="str">
        <f aca="false">IF($C37="","",IF(Dashboard!$C$4="Gemiddeld per maand",$F37,IF(OR($D37="Per maand",$D37="Per week",$D37=""),$F37,IF($D37="Per jaar",IF(11=$W37,$C37,0),IF($D37="Per half jaar",IF(MOD(11-$W37,6)=0,$C37,0),IF($D37="Per kwartaal",IF(MOD(11-$W37,3)=0,$C37,0),$F37))))))</f>
        <v/>
      </c>
      <c r="V37" s="107" t="str">
        <f aca="false">IF($C37="","",IF(Dashboard!$C$4="Gemiddeld per maand",$F37,IF(OR($D37="Per maand",$D37="Per week",$D37=""),$F37,IF($D37="Per jaar",IF(12=$W37,$C37,0),IF($D37="Per half jaar",IF(MOD(12-$W37,6)=0,$C37,0),IF($D37="Per kwartaal",IF(MOD(12-$W37,3)=0,$C37,0),$F37))))))</f>
        <v/>
      </c>
      <c r="W37" s="15" t="n">
        <f aca="false">IF($E37="",1,IFERROR(MATCH($E37,Lijsten!$K$6:$K$17,0),1))</f>
        <v>1</v>
      </c>
    </row>
    <row r="38" customFormat="false" ht="15" hidden="false" customHeight="false" outlineLevel="0" collapsed="false">
      <c r="A38" s="102"/>
      <c r="B38" s="102"/>
      <c r="C38" s="92"/>
      <c r="D38" s="102"/>
      <c r="E38" s="103"/>
      <c r="F38" s="104" t="str">
        <f aca="false">IF($C38="","",IF($D38="Per jaar",$C38/12,IF($D38="Per kwartaal",$C38/3,IF($D38="Per half jaar",$C38/6,IF($D38="Per week",$C38*52/12,$C38)))))</f>
        <v/>
      </c>
      <c r="G38" s="102"/>
      <c r="H38" s="103"/>
      <c r="I38" s="105"/>
      <c r="J38" s="106" t="str">
        <f aca="false">IF($C38="","",IF(Dashboard!$C$4="Gemiddeld per maand",$F38,IF(OR($D38="Per maand",$D38="Per week",$D38=""),$F38,IF($D38="Per jaar",IF(Dashboard!$N$2=$W38,$C38,0),IF($D38="Per half jaar",IF(MOD(Dashboard!$N$2-$W38,6)=0,$C38,0),IF($D38="Per kwartaal",IF(MOD(Dashboard!$N$2-$W38,3)=0,$C38,0),$F38))))))</f>
        <v/>
      </c>
      <c r="K38" s="107" t="str">
        <f aca="false">IF($C38="","",IF(Dashboard!$C$4="Gemiddeld per maand",$F38,IF(OR($D38="Per maand",$D38="Per week",$D38=""),$F38,IF($D38="Per jaar",IF(1=$W38,$C38,0),IF($D38="Per half jaar",IF(MOD(1-$W38,6)=0,$C38,0),IF($D38="Per kwartaal",IF(MOD(1-$W38,3)=0,$C38,0),$F38))))))</f>
        <v/>
      </c>
      <c r="L38" s="107" t="str">
        <f aca="false">IF($C38="","",IF(Dashboard!$C$4="Gemiddeld per maand",$F38,IF(OR($D38="Per maand",$D38="Per week",$D38=""),$F38,IF($D38="Per jaar",IF(2=$W38,$C38,0),IF($D38="Per half jaar",IF(MOD(2-$W38,6)=0,$C38,0),IF($D38="Per kwartaal",IF(MOD(2-$W38,3)=0,$C38,0),$F38))))))</f>
        <v/>
      </c>
      <c r="M38" s="107" t="str">
        <f aca="false">IF($C38="","",IF(Dashboard!$C$4="Gemiddeld per maand",$F38,IF(OR($D38="Per maand",$D38="Per week",$D38=""),$F38,IF($D38="Per jaar",IF(3=$W38,$C38,0),IF($D38="Per half jaar",IF(MOD(3-$W38,6)=0,$C38,0),IF($D38="Per kwartaal",IF(MOD(3-$W38,3)=0,$C38,0),$F38))))))</f>
        <v/>
      </c>
      <c r="N38" s="107" t="str">
        <f aca="false">IF($C38="","",IF(Dashboard!$C$4="Gemiddeld per maand",$F38,IF(OR($D38="Per maand",$D38="Per week",$D38=""),$F38,IF($D38="Per jaar",IF(4=$W38,$C38,0),IF($D38="Per half jaar",IF(MOD(4-$W38,6)=0,$C38,0),IF($D38="Per kwartaal",IF(MOD(4-$W38,3)=0,$C38,0),$F38))))))</f>
        <v/>
      </c>
      <c r="O38" s="107" t="str">
        <f aca="false">IF($C38="","",IF(Dashboard!$C$4="Gemiddeld per maand",$F38,IF(OR($D38="Per maand",$D38="Per week",$D38=""),$F38,IF($D38="Per jaar",IF(5=$W38,$C38,0),IF($D38="Per half jaar",IF(MOD(5-$W38,6)=0,$C38,0),IF($D38="Per kwartaal",IF(MOD(5-$W38,3)=0,$C38,0),$F38))))))</f>
        <v/>
      </c>
      <c r="P38" s="107" t="str">
        <f aca="false">IF($C38="","",IF(Dashboard!$C$4="Gemiddeld per maand",$F38,IF(OR($D38="Per maand",$D38="Per week",$D38=""),$F38,IF($D38="Per jaar",IF(6=$W38,$C38,0),IF($D38="Per half jaar",IF(MOD(6-$W38,6)=0,$C38,0),IF($D38="Per kwartaal",IF(MOD(6-$W38,3)=0,$C38,0),$F38))))))</f>
        <v/>
      </c>
      <c r="Q38" s="107" t="str">
        <f aca="false">IF($C38="","",IF(Dashboard!$C$4="Gemiddeld per maand",$F38,IF(OR($D38="Per maand",$D38="Per week",$D38=""),$F38,IF($D38="Per jaar",IF(7=$W38,$C38,0),IF($D38="Per half jaar",IF(MOD(7-$W38,6)=0,$C38,0),IF($D38="Per kwartaal",IF(MOD(7-$W38,3)=0,$C38,0),$F38))))))</f>
        <v/>
      </c>
      <c r="R38" s="107" t="str">
        <f aca="false">IF($C38="","",IF(Dashboard!$C$4="Gemiddeld per maand",$F38,IF(OR($D38="Per maand",$D38="Per week",$D38=""),$F38,IF($D38="Per jaar",IF(8=$W38,$C38,0),IF($D38="Per half jaar",IF(MOD(8-$W38,6)=0,$C38,0),IF($D38="Per kwartaal",IF(MOD(8-$W38,3)=0,$C38,0),$F38))))))</f>
        <v/>
      </c>
      <c r="S38" s="107" t="str">
        <f aca="false">IF($C38="","",IF(Dashboard!$C$4="Gemiddeld per maand",$F38,IF(OR($D38="Per maand",$D38="Per week",$D38=""),$F38,IF($D38="Per jaar",IF(9=$W38,$C38,0),IF($D38="Per half jaar",IF(MOD(9-$W38,6)=0,$C38,0),IF($D38="Per kwartaal",IF(MOD(9-$W38,3)=0,$C38,0),$F38))))))</f>
        <v/>
      </c>
      <c r="T38" s="107" t="str">
        <f aca="false">IF($C38="","",IF(Dashboard!$C$4="Gemiddeld per maand",$F38,IF(OR($D38="Per maand",$D38="Per week",$D38=""),$F38,IF($D38="Per jaar",IF(10=$W38,$C38,0),IF($D38="Per half jaar",IF(MOD(10-$W38,6)=0,$C38,0),IF($D38="Per kwartaal",IF(MOD(10-$W38,3)=0,$C38,0),$F38))))))</f>
        <v/>
      </c>
      <c r="U38" s="107" t="str">
        <f aca="false">IF($C38="","",IF(Dashboard!$C$4="Gemiddeld per maand",$F38,IF(OR($D38="Per maand",$D38="Per week",$D38=""),$F38,IF($D38="Per jaar",IF(11=$W38,$C38,0),IF($D38="Per half jaar",IF(MOD(11-$W38,6)=0,$C38,0),IF($D38="Per kwartaal",IF(MOD(11-$W38,3)=0,$C38,0),$F38))))))</f>
        <v/>
      </c>
      <c r="V38" s="107" t="str">
        <f aca="false">IF($C38="","",IF(Dashboard!$C$4="Gemiddeld per maand",$F38,IF(OR($D38="Per maand",$D38="Per week",$D38=""),$F38,IF($D38="Per jaar",IF(12=$W38,$C38,0),IF($D38="Per half jaar",IF(MOD(12-$W38,6)=0,$C38,0),IF($D38="Per kwartaal",IF(MOD(12-$W38,3)=0,$C38,0),$F38))))))</f>
        <v/>
      </c>
      <c r="W38" s="15" t="n">
        <f aca="false">IF($E38="",1,IFERROR(MATCH($E38,Lijsten!$K$6:$K$17,0),1))</f>
        <v>1</v>
      </c>
    </row>
    <row r="39" customFormat="false" ht="15" hidden="false" customHeight="false" outlineLevel="0" collapsed="false">
      <c r="A39" s="102"/>
      <c r="B39" s="102"/>
      <c r="C39" s="92"/>
      <c r="D39" s="102"/>
      <c r="E39" s="103"/>
      <c r="F39" s="104" t="str">
        <f aca="false">IF($C39="","",IF($D39="Per jaar",$C39/12,IF($D39="Per kwartaal",$C39/3,IF($D39="Per half jaar",$C39/6,IF($D39="Per week",$C39*52/12,$C39)))))</f>
        <v/>
      </c>
      <c r="G39" s="102"/>
      <c r="H39" s="103"/>
      <c r="I39" s="105"/>
      <c r="J39" s="106" t="str">
        <f aca="false">IF($C39="","",IF(Dashboard!$C$4="Gemiddeld per maand",$F39,IF(OR($D39="Per maand",$D39="Per week",$D39=""),$F39,IF($D39="Per jaar",IF(Dashboard!$N$2=$W39,$C39,0),IF($D39="Per half jaar",IF(MOD(Dashboard!$N$2-$W39,6)=0,$C39,0),IF($D39="Per kwartaal",IF(MOD(Dashboard!$N$2-$W39,3)=0,$C39,0),$F39))))))</f>
        <v/>
      </c>
      <c r="K39" s="107" t="str">
        <f aca="false">IF($C39="","",IF(Dashboard!$C$4="Gemiddeld per maand",$F39,IF(OR($D39="Per maand",$D39="Per week",$D39=""),$F39,IF($D39="Per jaar",IF(1=$W39,$C39,0),IF($D39="Per half jaar",IF(MOD(1-$W39,6)=0,$C39,0),IF($D39="Per kwartaal",IF(MOD(1-$W39,3)=0,$C39,0),$F39))))))</f>
        <v/>
      </c>
      <c r="L39" s="107" t="str">
        <f aca="false">IF($C39="","",IF(Dashboard!$C$4="Gemiddeld per maand",$F39,IF(OR($D39="Per maand",$D39="Per week",$D39=""),$F39,IF($D39="Per jaar",IF(2=$W39,$C39,0),IF($D39="Per half jaar",IF(MOD(2-$W39,6)=0,$C39,0),IF($D39="Per kwartaal",IF(MOD(2-$W39,3)=0,$C39,0),$F39))))))</f>
        <v/>
      </c>
      <c r="M39" s="107" t="str">
        <f aca="false">IF($C39="","",IF(Dashboard!$C$4="Gemiddeld per maand",$F39,IF(OR($D39="Per maand",$D39="Per week",$D39=""),$F39,IF($D39="Per jaar",IF(3=$W39,$C39,0),IF($D39="Per half jaar",IF(MOD(3-$W39,6)=0,$C39,0),IF($D39="Per kwartaal",IF(MOD(3-$W39,3)=0,$C39,0),$F39))))))</f>
        <v/>
      </c>
      <c r="N39" s="107" t="str">
        <f aca="false">IF($C39="","",IF(Dashboard!$C$4="Gemiddeld per maand",$F39,IF(OR($D39="Per maand",$D39="Per week",$D39=""),$F39,IF($D39="Per jaar",IF(4=$W39,$C39,0),IF($D39="Per half jaar",IF(MOD(4-$W39,6)=0,$C39,0),IF($D39="Per kwartaal",IF(MOD(4-$W39,3)=0,$C39,0),$F39))))))</f>
        <v/>
      </c>
      <c r="O39" s="107" t="str">
        <f aca="false">IF($C39="","",IF(Dashboard!$C$4="Gemiddeld per maand",$F39,IF(OR($D39="Per maand",$D39="Per week",$D39=""),$F39,IF($D39="Per jaar",IF(5=$W39,$C39,0),IF($D39="Per half jaar",IF(MOD(5-$W39,6)=0,$C39,0),IF($D39="Per kwartaal",IF(MOD(5-$W39,3)=0,$C39,0),$F39))))))</f>
        <v/>
      </c>
      <c r="P39" s="107" t="str">
        <f aca="false">IF($C39="","",IF(Dashboard!$C$4="Gemiddeld per maand",$F39,IF(OR($D39="Per maand",$D39="Per week",$D39=""),$F39,IF($D39="Per jaar",IF(6=$W39,$C39,0),IF($D39="Per half jaar",IF(MOD(6-$W39,6)=0,$C39,0),IF($D39="Per kwartaal",IF(MOD(6-$W39,3)=0,$C39,0),$F39))))))</f>
        <v/>
      </c>
      <c r="Q39" s="107" t="str">
        <f aca="false">IF($C39="","",IF(Dashboard!$C$4="Gemiddeld per maand",$F39,IF(OR($D39="Per maand",$D39="Per week",$D39=""),$F39,IF($D39="Per jaar",IF(7=$W39,$C39,0),IF($D39="Per half jaar",IF(MOD(7-$W39,6)=0,$C39,0),IF($D39="Per kwartaal",IF(MOD(7-$W39,3)=0,$C39,0),$F39))))))</f>
        <v/>
      </c>
      <c r="R39" s="107" t="str">
        <f aca="false">IF($C39="","",IF(Dashboard!$C$4="Gemiddeld per maand",$F39,IF(OR($D39="Per maand",$D39="Per week",$D39=""),$F39,IF($D39="Per jaar",IF(8=$W39,$C39,0),IF($D39="Per half jaar",IF(MOD(8-$W39,6)=0,$C39,0),IF($D39="Per kwartaal",IF(MOD(8-$W39,3)=0,$C39,0),$F39))))))</f>
        <v/>
      </c>
      <c r="S39" s="107" t="str">
        <f aca="false">IF($C39="","",IF(Dashboard!$C$4="Gemiddeld per maand",$F39,IF(OR($D39="Per maand",$D39="Per week",$D39=""),$F39,IF($D39="Per jaar",IF(9=$W39,$C39,0),IF($D39="Per half jaar",IF(MOD(9-$W39,6)=0,$C39,0),IF($D39="Per kwartaal",IF(MOD(9-$W39,3)=0,$C39,0),$F39))))))</f>
        <v/>
      </c>
      <c r="T39" s="107" t="str">
        <f aca="false">IF($C39="","",IF(Dashboard!$C$4="Gemiddeld per maand",$F39,IF(OR($D39="Per maand",$D39="Per week",$D39=""),$F39,IF($D39="Per jaar",IF(10=$W39,$C39,0),IF($D39="Per half jaar",IF(MOD(10-$W39,6)=0,$C39,0),IF($D39="Per kwartaal",IF(MOD(10-$W39,3)=0,$C39,0),$F39))))))</f>
        <v/>
      </c>
      <c r="U39" s="107" t="str">
        <f aca="false">IF($C39="","",IF(Dashboard!$C$4="Gemiddeld per maand",$F39,IF(OR($D39="Per maand",$D39="Per week",$D39=""),$F39,IF($D39="Per jaar",IF(11=$W39,$C39,0),IF($D39="Per half jaar",IF(MOD(11-$W39,6)=0,$C39,0),IF($D39="Per kwartaal",IF(MOD(11-$W39,3)=0,$C39,0),$F39))))))</f>
        <v/>
      </c>
      <c r="V39" s="107" t="str">
        <f aca="false">IF($C39="","",IF(Dashboard!$C$4="Gemiddeld per maand",$F39,IF(OR($D39="Per maand",$D39="Per week",$D39=""),$F39,IF($D39="Per jaar",IF(12=$W39,$C39,0),IF($D39="Per half jaar",IF(MOD(12-$W39,6)=0,$C39,0),IF($D39="Per kwartaal",IF(MOD(12-$W39,3)=0,$C39,0),$F39))))))</f>
        <v/>
      </c>
      <c r="W39" s="15" t="n">
        <f aca="false">IF($E39="",1,IFERROR(MATCH($E39,Lijsten!$K$6:$K$17,0),1))</f>
        <v>1</v>
      </c>
    </row>
    <row r="40" customFormat="false" ht="15" hidden="false" customHeight="false" outlineLevel="0" collapsed="false">
      <c r="A40" s="102"/>
      <c r="B40" s="102"/>
      <c r="C40" s="92"/>
      <c r="D40" s="102"/>
      <c r="E40" s="103"/>
      <c r="F40" s="104" t="str">
        <f aca="false">IF($C40="","",IF($D40="Per jaar",$C40/12,IF($D40="Per kwartaal",$C40/3,IF($D40="Per half jaar",$C40/6,IF($D40="Per week",$C40*52/12,$C40)))))</f>
        <v/>
      </c>
      <c r="G40" s="102"/>
      <c r="H40" s="103"/>
      <c r="I40" s="105"/>
      <c r="J40" s="106" t="str">
        <f aca="false">IF($C40="","",IF(Dashboard!$C$4="Gemiddeld per maand",$F40,IF(OR($D40="Per maand",$D40="Per week",$D40=""),$F40,IF($D40="Per jaar",IF(Dashboard!$N$2=$W40,$C40,0),IF($D40="Per half jaar",IF(MOD(Dashboard!$N$2-$W40,6)=0,$C40,0),IF($D40="Per kwartaal",IF(MOD(Dashboard!$N$2-$W40,3)=0,$C40,0),$F40))))))</f>
        <v/>
      </c>
      <c r="K40" s="107" t="str">
        <f aca="false">IF($C40="","",IF(Dashboard!$C$4="Gemiddeld per maand",$F40,IF(OR($D40="Per maand",$D40="Per week",$D40=""),$F40,IF($D40="Per jaar",IF(1=$W40,$C40,0),IF($D40="Per half jaar",IF(MOD(1-$W40,6)=0,$C40,0),IF($D40="Per kwartaal",IF(MOD(1-$W40,3)=0,$C40,0),$F40))))))</f>
        <v/>
      </c>
      <c r="L40" s="107" t="str">
        <f aca="false">IF($C40="","",IF(Dashboard!$C$4="Gemiddeld per maand",$F40,IF(OR($D40="Per maand",$D40="Per week",$D40=""),$F40,IF($D40="Per jaar",IF(2=$W40,$C40,0),IF($D40="Per half jaar",IF(MOD(2-$W40,6)=0,$C40,0),IF($D40="Per kwartaal",IF(MOD(2-$W40,3)=0,$C40,0),$F40))))))</f>
        <v/>
      </c>
      <c r="M40" s="107" t="str">
        <f aca="false">IF($C40="","",IF(Dashboard!$C$4="Gemiddeld per maand",$F40,IF(OR($D40="Per maand",$D40="Per week",$D40=""),$F40,IF($D40="Per jaar",IF(3=$W40,$C40,0),IF($D40="Per half jaar",IF(MOD(3-$W40,6)=0,$C40,0),IF($D40="Per kwartaal",IF(MOD(3-$W40,3)=0,$C40,0),$F40))))))</f>
        <v/>
      </c>
      <c r="N40" s="107" t="str">
        <f aca="false">IF($C40="","",IF(Dashboard!$C$4="Gemiddeld per maand",$F40,IF(OR($D40="Per maand",$D40="Per week",$D40=""),$F40,IF($D40="Per jaar",IF(4=$W40,$C40,0),IF($D40="Per half jaar",IF(MOD(4-$W40,6)=0,$C40,0),IF($D40="Per kwartaal",IF(MOD(4-$W40,3)=0,$C40,0),$F40))))))</f>
        <v/>
      </c>
      <c r="O40" s="107" t="str">
        <f aca="false">IF($C40="","",IF(Dashboard!$C$4="Gemiddeld per maand",$F40,IF(OR($D40="Per maand",$D40="Per week",$D40=""),$F40,IF($D40="Per jaar",IF(5=$W40,$C40,0),IF($D40="Per half jaar",IF(MOD(5-$W40,6)=0,$C40,0),IF($D40="Per kwartaal",IF(MOD(5-$W40,3)=0,$C40,0),$F40))))))</f>
        <v/>
      </c>
      <c r="P40" s="107" t="str">
        <f aca="false">IF($C40="","",IF(Dashboard!$C$4="Gemiddeld per maand",$F40,IF(OR($D40="Per maand",$D40="Per week",$D40=""),$F40,IF($D40="Per jaar",IF(6=$W40,$C40,0),IF($D40="Per half jaar",IF(MOD(6-$W40,6)=0,$C40,0),IF($D40="Per kwartaal",IF(MOD(6-$W40,3)=0,$C40,0),$F40))))))</f>
        <v/>
      </c>
      <c r="Q40" s="107" t="str">
        <f aca="false">IF($C40="","",IF(Dashboard!$C$4="Gemiddeld per maand",$F40,IF(OR($D40="Per maand",$D40="Per week",$D40=""),$F40,IF($D40="Per jaar",IF(7=$W40,$C40,0),IF($D40="Per half jaar",IF(MOD(7-$W40,6)=0,$C40,0),IF($D40="Per kwartaal",IF(MOD(7-$W40,3)=0,$C40,0),$F40))))))</f>
        <v/>
      </c>
      <c r="R40" s="107" t="str">
        <f aca="false">IF($C40="","",IF(Dashboard!$C$4="Gemiddeld per maand",$F40,IF(OR($D40="Per maand",$D40="Per week",$D40=""),$F40,IF($D40="Per jaar",IF(8=$W40,$C40,0),IF($D40="Per half jaar",IF(MOD(8-$W40,6)=0,$C40,0),IF($D40="Per kwartaal",IF(MOD(8-$W40,3)=0,$C40,0),$F40))))))</f>
        <v/>
      </c>
      <c r="S40" s="107" t="str">
        <f aca="false">IF($C40="","",IF(Dashboard!$C$4="Gemiddeld per maand",$F40,IF(OR($D40="Per maand",$D40="Per week",$D40=""),$F40,IF($D40="Per jaar",IF(9=$W40,$C40,0),IF($D40="Per half jaar",IF(MOD(9-$W40,6)=0,$C40,0),IF($D40="Per kwartaal",IF(MOD(9-$W40,3)=0,$C40,0),$F40))))))</f>
        <v/>
      </c>
      <c r="T40" s="107" t="str">
        <f aca="false">IF($C40="","",IF(Dashboard!$C$4="Gemiddeld per maand",$F40,IF(OR($D40="Per maand",$D40="Per week",$D40=""),$F40,IF($D40="Per jaar",IF(10=$W40,$C40,0),IF($D40="Per half jaar",IF(MOD(10-$W40,6)=0,$C40,0),IF($D40="Per kwartaal",IF(MOD(10-$W40,3)=0,$C40,0),$F40))))))</f>
        <v/>
      </c>
      <c r="U40" s="107" t="str">
        <f aca="false">IF($C40="","",IF(Dashboard!$C$4="Gemiddeld per maand",$F40,IF(OR($D40="Per maand",$D40="Per week",$D40=""),$F40,IF($D40="Per jaar",IF(11=$W40,$C40,0),IF($D40="Per half jaar",IF(MOD(11-$W40,6)=0,$C40,0),IF($D40="Per kwartaal",IF(MOD(11-$W40,3)=0,$C40,0),$F40))))))</f>
        <v/>
      </c>
      <c r="V40" s="107" t="str">
        <f aca="false">IF($C40="","",IF(Dashboard!$C$4="Gemiddeld per maand",$F40,IF(OR($D40="Per maand",$D40="Per week",$D40=""),$F40,IF($D40="Per jaar",IF(12=$W40,$C40,0),IF($D40="Per half jaar",IF(MOD(12-$W40,6)=0,$C40,0),IF($D40="Per kwartaal",IF(MOD(12-$W40,3)=0,$C40,0),$F40))))))</f>
        <v/>
      </c>
      <c r="W40" s="15" t="n">
        <f aca="false">IF($E40="",1,IFERROR(MATCH($E40,Lijsten!$K$6:$K$17,0),1))</f>
        <v>1</v>
      </c>
    </row>
    <row r="41" customFormat="false" ht="15" hidden="false" customHeight="false" outlineLevel="0" collapsed="false">
      <c r="A41" s="102"/>
      <c r="B41" s="102"/>
      <c r="C41" s="92"/>
      <c r="D41" s="102"/>
      <c r="E41" s="103"/>
      <c r="F41" s="104" t="str">
        <f aca="false">IF($C41="","",IF($D41="Per jaar",$C41/12,IF($D41="Per kwartaal",$C41/3,IF($D41="Per half jaar",$C41/6,IF($D41="Per week",$C41*52/12,$C41)))))</f>
        <v/>
      </c>
      <c r="G41" s="102"/>
      <c r="H41" s="103"/>
      <c r="I41" s="105"/>
      <c r="J41" s="106" t="str">
        <f aca="false">IF($C41="","",IF(Dashboard!$C$4="Gemiddeld per maand",$F41,IF(OR($D41="Per maand",$D41="Per week",$D41=""),$F41,IF($D41="Per jaar",IF(Dashboard!$N$2=$W41,$C41,0),IF($D41="Per half jaar",IF(MOD(Dashboard!$N$2-$W41,6)=0,$C41,0),IF($D41="Per kwartaal",IF(MOD(Dashboard!$N$2-$W41,3)=0,$C41,0),$F41))))))</f>
        <v/>
      </c>
      <c r="K41" s="107" t="str">
        <f aca="false">IF($C41="","",IF(Dashboard!$C$4="Gemiddeld per maand",$F41,IF(OR($D41="Per maand",$D41="Per week",$D41=""),$F41,IF($D41="Per jaar",IF(1=$W41,$C41,0),IF($D41="Per half jaar",IF(MOD(1-$W41,6)=0,$C41,0),IF($D41="Per kwartaal",IF(MOD(1-$W41,3)=0,$C41,0),$F41))))))</f>
        <v/>
      </c>
      <c r="L41" s="107" t="str">
        <f aca="false">IF($C41="","",IF(Dashboard!$C$4="Gemiddeld per maand",$F41,IF(OR($D41="Per maand",$D41="Per week",$D41=""),$F41,IF($D41="Per jaar",IF(2=$W41,$C41,0),IF($D41="Per half jaar",IF(MOD(2-$W41,6)=0,$C41,0),IF($D41="Per kwartaal",IF(MOD(2-$W41,3)=0,$C41,0),$F41))))))</f>
        <v/>
      </c>
      <c r="M41" s="107" t="str">
        <f aca="false">IF($C41="","",IF(Dashboard!$C$4="Gemiddeld per maand",$F41,IF(OR($D41="Per maand",$D41="Per week",$D41=""),$F41,IF($D41="Per jaar",IF(3=$W41,$C41,0),IF($D41="Per half jaar",IF(MOD(3-$W41,6)=0,$C41,0),IF($D41="Per kwartaal",IF(MOD(3-$W41,3)=0,$C41,0),$F41))))))</f>
        <v/>
      </c>
      <c r="N41" s="107" t="str">
        <f aca="false">IF($C41="","",IF(Dashboard!$C$4="Gemiddeld per maand",$F41,IF(OR($D41="Per maand",$D41="Per week",$D41=""),$F41,IF($D41="Per jaar",IF(4=$W41,$C41,0),IF($D41="Per half jaar",IF(MOD(4-$W41,6)=0,$C41,0),IF($D41="Per kwartaal",IF(MOD(4-$W41,3)=0,$C41,0),$F41))))))</f>
        <v/>
      </c>
      <c r="O41" s="107" t="str">
        <f aca="false">IF($C41="","",IF(Dashboard!$C$4="Gemiddeld per maand",$F41,IF(OR($D41="Per maand",$D41="Per week",$D41=""),$F41,IF($D41="Per jaar",IF(5=$W41,$C41,0),IF($D41="Per half jaar",IF(MOD(5-$W41,6)=0,$C41,0),IF($D41="Per kwartaal",IF(MOD(5-$W41,3)=0,$C41,0),$F41))))))</f>
        <v/>
      </c>
      <c r="P41" s="107" t="str">
        <f aca="false">IF($C41="","",IF(Dashboard!$C$4="Gemiddeld per maand",$F41,IF(OR($D41="Per maand",$D41="Per week",$D41=""),$F41,IF($D41="Per jaar",IF(6=$W41,$C41,0),IF($D41="Per half jaar",IF(MOD(6-$W41,6)=0,$C41,0),IF($D41="Per kwartaal",IF(MOD(6-$W41,3)=0,$C41,0),$F41))))))</f>
        <v/>
      </c>
      <c r="Q41" s="107" t="str">
        <f aca="false">IF($C41="","",IF(Dashboard!$C$4="Gemiddeld per maand",$F41,IF(OR($D41="Per maand",$D41="Per week",$D41=""),$F41,IF($D41="Per jaar",IF(7=$W41,$C41,0),IF($D41="Per half jaar",IF(MOD(7-$W41,6)=0,$C41,0),IF($D41="Per kwartaal",IF(MOD(7-$W41,3)=0,$C41,0),$F41))))))</f>
        <v/>
      </c>
      <c r="R41" s="107" t="str">
        <f aca="false">IF($C41="","",IF(Dashboard!$C$4="Gemiddeld per maand",$F41,IF(OR($D41="Per maand",$D41="Per week",$D41=""),$F41,IF($D41="Per jaar",IF(8=$W41,$C41,0),IF($D41="Per half jaar",IF(MOD(8-$W41,6)=0,$C41,0),IF($D41="Per kwartaal",IF(MOD(8-$W41,3)=0,$C41,0),$F41))))))</f>
        <v/>
      </c>
      <c r="S41" s="107" t="str">
        <f aca="false">IF($C41="","",IF(Dashboard!$C$4="Gemiddeld per maand",$F41,IF(OR($D41="Per maand",$D41="Per week",$D41=""),$F41,IF($D41="Per jaar",IF(9=$W41,$C41,0),IF($D41="Per half jaar",IF(MOD(9-$W41,6)=0,$C41,0),IF($D41="Per kwartaal",IF(MOD(9-$W41,3)=0,$C41,0),$F41))))))</f>
        <v/>
      </c>
      <c r="T41" s="107" t="str">
        <f aca="false">IF($C41="","",IF(Dashboard!$C$4="Gemiddeld per maand",$F41,IF(OR($D41="Per maand",$D41="Per week",$D41=""),$F41,IF($D41="Per jaar",IF(10=$W41,$C41,0),IF($D41="Per half jaar",IF(MOD(10-$W41,6)=0,$C41,0),IF($D41="Per kwartaal",IF(MOD(10-$W41,3)=0,$C41,0),$F41))))))</f>
        <v/>
      </c>
      <c r="U41" s="107" t="str">
        <f aca="false">IF($C41="","",IF(Dashboard!$C$4="Gemiddeld per maand",$F41,IF(OR($D41="Per maand",$D41="Per week",$D41=""),$F41,IF($D41="Per jaar",IF(11=$W41,$C41,0),IF($D41="Per half jaar",IF(MOD(11-$W41,6)=0,$C41,0),IF($D41="Per kwartaal",IF(MOD(11-$W41,3)=0,$C41,0),$F41))))))</f>
        <v/>
      </c>
      <c r="V41" s="107" t="str">
        <f aca="false">IF($C41="","",IF(Dashboard!$C$4="Gemiddeld per maand",$F41,IF(OR($D41="Per maand",$D41="Per week",$D41=""),$F41,IF($D41="Per jaar",IF(12=$W41,$C41,0),IF($D41="Per half jaar",IF(MOD(12-$W41,6)=0,$C41,0),IF($D41="Per kwartaal",IF(MOD(12-$W41,3)=0,$C41,0),$F41))))))</f>
        <v/>
      </c>
      <c r="W41" s="15" t="n">
        <f aca="false">IF($E41="",1,IFERROR(MATCH($E41,Lijsten!$K$6:$K$17,0),1))</f>
        <v>1</v>
      </c>
    </row>
    <row r="42" customFormat="false" ht="15" hidden="false" customHeight="false" outlineLevel="0" collapsed="false">
      <c r="A42" s="102"/>
      <c r="B42" s="102"/>
      <c r="C42" s="92"/>
      <c r="D42" s="102"/>
      <c r="E42" s="103"/>
      <c r="F42" s="104" t="str">
        <f aca="false">IF($C42="","",IF($D42="Per jaar",$C42/12,IF($D42="Per kwartaal",$C42/3,IF($D42="Per half jaar",$C42/6,IF($D42="Per week",$C42*52/12,$C42)))))</f>
        <v/>
      </c>
      <c r="G42" s="102"/>
      <c r="H42" s="103"/>
      <c r="I42" s="105"/>
      <c r="J42" s="106" t="str">
        <f aca="false">IF($C42="","",IF(Dashboard!$C$4="Gemiddeld per maand",$F42,IF(OR($D42="Per maand",$D42="Per week",$D42=""),$F42,IF($D42="Per jaar",IF(Dashboard!$N$2=$W42,$C42,0),IF($D42="Per half jaar",IF(MOD(Dashboard!$N$2-$W42,6)=0,$C42,0),IF($D42="Per kwartaal",IF(MOD(Dashboard!$N$2-$W42,3)=0,$C42,0),$F42))))))</f>
        <v/>
      </c>
      <c r="K42" s="107" t="str">
        <f aca="false">IF($C42="","",IF(Dashboard!$C$4="Gemiddeld per maand",$F42,IF(OR($D42="Per maand",$D42="Per week",$D42=""),$F42,IF($D42="Per jaar",IF(1=$W42,$C42,0),IF($D42="Per half jaar",IF(MOD(1-$W42,6)=0,$C42,0),IF($D42="Per kwartaal",IF(MOD(1-$W42,3)=0,$C42,0),$F42))))))</f>
        <v/>
      </c>
      <c r="L42" s="107" t="str">
        <f aca="false">IF($C42="","",IF(Dashboard!$C$4="Gemiddeld per maand",$F42,IF(OR($D42="Per maand",$D42="Per week",$D42=""),$F42,IF($D42="Per jaar",IF(2=$W42,$C42,0),IF($D42="Per half jaar",IF(MOD(2-$W42,6)=0,$C42,0),IF($D42="Per kwartaal",IF(MOD(2-$W42,3)=0,$C42,0),$F42))))))</f>
        <v/>
      </c>
      <c r="M42" s="107" t="str">
        <f aca="false">IF($C42="","",IF(Dashboard!$C$4="Gemiddeld per maand",$F42,IF(OR($D42="Per maand",$D42="Per week",$D42=""),$F42,IF($D42="Per jaar",IF(3=$W42,$C42,0),IF($D42="Per half jaar",IF(MOD(3-$W42,6)=0,$C42,0),IF($D42="Per kwartaal",IF(MOD(3-$W42,3)=0,$C42,0),$F42))))))</f>
        <v/>
      </c>
      <c r="N42" s="107" t="str">
        <f aca="false">IF($C42="","",IF(Dashboard!$C$4="Gemiddeld per maand",$F42,IF(OR($D42="Per maand",$D42="Per week",$D42=""),$F42,IF($D42="Per jaar",IF(4=$W42,$C42,0),IF($D42="Per half jaar",IF(MOD(4-$W42,6)=0,$C42,0),IF($D42="Per kwartaal",IF(MOD(4-$W42,3)=0,$C42,0),$F42))))))</f>
        <v/>
      </c>
      <c r="O42" s="107" t="str">
        <f aca="false">IF($C42="","",IF(Dashboard!$C$4="Gemiddeld per maand",$F42,IF(OR($D42="Per maand",$D42="Per week",$D42=""),$F42,IF($D42="Per jaar",IF(5=$W42,$C42,0),IF($D42="Per half jaar",IF(MOD(5-$W42,6)=0,$C42,0),IF($D42="Per kwartaal",IF(MOD(5-$W42,3)=0,$C42,0),$F42))))))</f>
        <v/>
      </c>
      <c r="P42" s="107" t="str">
        <f aca="false">IF($C42="","",IF(Dashboard!$C$4="Gemiddeld per maand",$F42,IF(OR($D42="Per maand",$D42="Per week",$D42=""),$F42,IF($D42="Per jaar",IF(6=$W42,$C42,0),IF($D42="Per half jaar",IF(MOD(6-$W42,6)=0,$C42,0),IF($D42="Per kwartaal",IF(MOD(6-$W42,3)=0,$C42,0),$F42))))))</f>
        <v/>
      </c>
      <c r="Q42" s="107" t="str">
        <f aca="false">IF($C42="","",IF(Dashboard!$C$4="Gemiddeld per maand",$F42,IF(OR($D42="Per maand",$D42="Per week",$D42=""),$F42,IF($D42="Per jaar",IF(7=$W42,$C42,0),IF($D42="Per half jaar",IF(MOD(7-$W42,6)=0,$C42,0),IF($D42="Per kwartaal",IF(MOD(7-$W42,3)=0,$C42,0),$F42))))))</f>
        <v/>
      </c>
      <c r="R42" s="107" t="str">
        <f aca="false">IF($C42="","",IF(Dashboard!$C$4="Gemiddeld per maand",$F42,IF(OR($D42="Per maand",$D42="Per week",$D42=""),$F42,IF($D42="Per jaar",IF(8=$W42,$C42,0),IF($D42="Per half jaar",IF(MOD(8-$W42,6)=0,$C42,0),IF($D42="Per kwartaal",IF(MOD(8-$W42,3)=0,$C42,0),$F42))))))</f>
        <v/>
      </c>
      <c r="S42" s="107" t="str">
        <f aca="false">IF($C42="","",IF(Dashboard!$C$4="Gemiddeld per maand",$F42,IF(OR($D42="Per maand",$D42="Per week",$D42=""),$F42,IF($D42="Per jaar",IF(9=$W42,$C42,0),IF($D42="Per half jaar",IF(MOD(9-$W42,6)=0,$C42,0),IF($D42="Per kwartaal",IF(MOD(9-$W42,3)=0,$C42,0),$F42))))))</f>
        <v/>
      </c>
      <c r="T42" s="107" t="str">
        <f aca="false">IF($C42="","",IF(Dashboard!$C$4="Gemiddeld per maand",$F42,IF(OR($D42="Per maand",$D42="Per week",$D42=""),$F42,IF($D42="Per jaar",IF(10=$W42,$C42,0),IF($D42="Per half jaar",IF(MOD(10-$W42,6)=0,$C42,0),IF($D42="Per kwartaal",IF(MOD(10-$W42,3)=0,$C42,0),$F42))))))</f>
        <v/>
      </c>
      <c r="U42" s="107" t="str">
        <f aca="false">IF($C42="","",IF(Dashboard!$C$4="Gemiddeld per maand",$F42,IF(OR($D42="Per maand",$D42="Per week",$D42=""),$F42,IF($D42="Per jaar",IF(11=$W42,$C42,0),IF($D42="Per half jaar",IF(MOD(11-$W42,6)=0,$C42,0),IF($D42="Per kwartaal",IF(MOD(11-$W42,3)=0,$C42,0),$F42))))))</f>
        <v/>
      </c>
      <c r="V42" s="107" t="str">
        <f aca="false">IF($C42="","",IF(Dashboard!$C$4="Gemiddeld per maand",$F42,IF(OR($D42="Per maand",$D42="Per week",$D42=""),$F42,IF($D42="Per jaar",IF(12=$W42,$C42,0),IF($D42="Per half jaar",IF(MOD(12-$W42,6)=0,$C42,0),IF($D42="Per kwartaal",IF(MOD(12-$W42,3)=0,$C42,0),$F42))))))</f>
        <v/>
      </c>
      <c r="W42" s="15" t="n">
        <f aca="false">IF($E42="",1,IFERROR(MATCH($E42,Lijsten!$K$6:$K$17,0),1))</f>
        <v>1</v>
      </c>
    </row>
    <row r="43" customFormat="false" ht="15" hidden="false" customHeight="false" outlineLevel="0" collapsed="false">
      <c r="A43" s="102"/>
      <c r="B43" s="102"/>
      <c r="C43" s="92"/>
      <c r="D43" s="102"/>
      <c r="E43" s="103"/>
      <c r="F43" s="104" t="str">
        <f aca="false">IF($C43="","",IF($D43="Per jaar",$C43/12,IF($D43="Per kwartaal",$C43/3,IF($D43="Per half jaar",$C43/6,IF($D43="Per week",$C43*52/12,$C43)))))</f>
        <v/>
      </c>
      <c r="G43" s="102"/>
      <c r="H43" s="103"/>
      <c r="I43" s="105"/>
      <c r="J43" s="106" t="str">
        <f aca="false">IF($C43="","",IF(Dashboard!$C$4="Gemiddeld per maand",$F43,IF(OR($D43="Per maand",$D43="Per week",$D43=""),$F43,IF($D43="Per jaar",IF(Dashboard!$N$2=$W43,$C43,0),IF($D43="Per half jaar",IF(MOD(Dashboard!$N$2-$W43,6)=0,$C43,0),IF($D43="Per kwartaal",IF(MOD(Dashboard!$N$2-$W43,3)=0,$C43,0),$F43))))))</f>
        <v/>
      </c>
      <c r="K43" s="107" t="str">
        <f aca="false">IF($C43="","",IF(Dashboard!$C$4="Gemiddeld per maand",$F43,IF(OR($D43="Per maand",$D43="Per week",$D43=""),$F43,IF($D43="Per jaar",IF(1=$W43,$C43,0),IF($D43="Per half jaar",IF(MOD(1-$W43,6)=0,$C43,0),IF($D43="Per kwartaal",IF(MOD(1-$W43,3)=0,$C43,0),$F43))))))</f>
        <v/>
      </c>
      <c r="L43" s="107" t="str">
        <f aca="false">IF($C43="","",IF(Dashboard!$C$4="Gemiddeld per maand",$F43,IF(OR($D43="Per maand",$D43="Per week",$D43=""),$F43,IF($D43="Per jaar",IF(2=$W43,$C43,0),IF($D43="Per half jaar",IF(MOD(2-$W43,6)=0,$C43,0),IF($D43="Per kwartaal",IF(MOD(2-$W43,3)=0,$C43,0),$F43))))))</f>
        <v/>
      </c>
      <c r="M43" s="107" t="str">
        <f aca="false">IF($C43="","",IF(Dashboard!$C$4="Gemiddeld per maand",$F43,IF(OR($D43="Per maand",$D43="Per week",$D43=""),$F43,IF($D43="Per jaar",IF(3=$W43,$C43,0),IF($D43="Per half jaar",IF(MOD(3-$W43,6)=0,$C43,0),IF($D43="Per kwartaal",IF(MOD(3-$W43,3)=0,$C43,0),$F43))))))</f>
        <v/>
      </c>
      <c r="N43" s="107" t="str">
        <f aca="false">IF($C43="","",IF(Dashboard!$C$4="Gemiddeld per maand",$F43,IF(OR($D43="Per maand",$D43="Per week",$D43=""),$F43,IF($D43="Per jaar",IF(4=$W43,$C43,0),IF($D43="Per half jaar",IF(MOD(4-$W43,6)=0,$C43,0),IF($D43="Per kwartaal",IF(MOD(4-$W43,3)=0,$C43,0),$F43))))))</f>
        <v/>
      </c>
      <c r="O43" s="107" t="str">
        <f aca="false">IF($C43="","",IF(Dashboard!$C$4="Gemiddeld per maand",$F43,IF(OR($D43="Per maand",$D43="Per week",$D43=""),$F43,IF($D43="Per jaar",IF(5=$W43,$C43,0),IF($D43="Per half jaar",IF(MOD(5-$W43,6)=0,$C43,0),IF($D43="Per kwartaal",IF(MOD(5-$W43,3)=0,$C43,0),$F43))))))</f>
        <v/>
      </c>
      <c r="P43" s="107" t="str">
        <f aca="false">IF($C43="","",IF(Dashboard!$C$4="Gemiddeld per maand",$F43,IF(OR($D43="Per maand",$D43="Per week",$D43=""),$F43,IF($D43="Per jaar",IF(6=$W43,$C43,0),IF($D43="Per half jaar",IF(MOD(6-$W43,6)=0,$C43,0),IF($D43="Per kwartaal",IF(MOD(6-$W43,3)=0,$C43,0),$F43))))))</f>
        <v/>
      </c>
      <c r="Q43" s="107" t="str">
        <f aca="false">IF($C43="","",IF(Dashboard!$C$4="Gemiddeld per maand",$F43,IF(OR($D43="Per maand",$D43="Per week",$D43=""),$F43,IF($D43="Per jaar",IF(7=$W43,$C43,0),IF($D43="Per half jaar",IF(MOD(7-$W43,6)=0,$C43,0),IF($D43="Per kwartaal",IF(MOD(7-$W43,3)=0,$C43,0),$F43))))))</f>
        <v/>
      </c>
      <c r="R43" s="107" t="str">
        <f aca="false">IF($C43="","",IF(Dashboard!$C$4="Gemiddeld per maand",$F43,IF(OR($D43="Per maand",$D43="Per week",$D43=""),$F43,IF($D43="Per jaar",IF(8=$W43,$C43,0),IF($D43="Per half jaar",IF(MOD(8-$W43,6)=0,$C43,0),IF($D43="Per kwartaal",IF(MOD(8-$W43,3)=0,$C43,0),$F43))))))</f>
        <v/>
      </c>
      <c r="S43" s="107" t="str">
        <f aca="false">IF($C43="","",IF(Dashboard!$C$4="Gemiddeld per maand",$F43,IF(OR($D43="Per maand",$D43="Per week",$D43=""),$F43,IF($D43="Per jaar",IF(9=$W43,$C43,0),IF($D43="Per half jaar",IF(MOD(9-$W43,6)=0,$C43,0),IF($D43="Per kwartaal",IF(MOD(9-$W43,3)=0,$C43,0),$F43))))))</f>
        <v/>
      </c>
      <c r="T43" s="107" t="str">
        <f aca="false">IF($C43="","",IF(Dashboard!$C$4="Gemiddeld per maand",$F43,IF(OR($D43="Per maand",$D43="Per week",$D43=""),$F43,IF($D43="Per jaar",IF(10=$W43,$C43,0),IF($D43="Per half jaar",IF(MOD(10-$W43,6)=0,$C43,0),IF($D43="Per kwartaal",IF(MOD(10-$W43,3)=0,$C43,0),$F43))))))</f>
        <v/>
      </c>
      <c r="U43" s="107" t="str">
        <f aca="false">IF($C43="","",IF(Dashboard!$C$4="Gemiddeld per maand",$F43,IF(OR($D43="Per maand",$D43="Per week",$D43=""),$F43,IF($D43="Per jaar",IF(11=$W43,$C43,0),IF($D43="Per half jaar",IF(MOD(11-$W43,6)=0,$C43,0),IF($D43="Per kwartaal",IF(MOD(11-$W43,3)=0,$C43,0),$F43))))))</f>
        <v/>
      </c>
      <c r="V43" s="107" t="str">
        <f aca="false">IF($C43="","",IF(Dashboard!$C$4="Gemiddeld per maand",$F43,IF(OR($D43="Per maand",$D43="Per week",$D43=""),$F43,IF($D43="Per jaar",IF(12=$W43,$C43,0),IF($D43="Per half jaar",IF(MOD(12-$W43,6)=0,$C43,0),IF($D43="Per kwartaal",IF(MOD(12-$W43,3)=0,$C43,0),$F43))))))</f>
        <v/>
      </c>
      <c r="W43" s="15" t="n">
        <f aca="false">IF($E43="",1,IFERROR(MATCH($E43,Lijsten!$K$6:$K$17,0),1))</f>
        <v>1</v>
      </c>
    </row>
    <row r="44" customFormat="false" ht="15" hidden="false" customHeight="false" outlineLevel="0" collapsed="false">
      <c r="A44" s="102"/>
      <c r="B44" s="102"/>
      <c r="C44" s="92"/>
      <c r="D44" s="102"/>
      <c r="E44" s="103"/>
      <c r="F44" s="104" t="str">
        <f aca="false">IF($C44="","",IF($D44="Per jaar",$C44/12,IF($D44="Per kwartaal",$C44/3,IF($D44="Per half jaar",$C44/6,IF($D44="Per week",$C44*52/12,$C44)))))</f>
        <v/>
      </c>
      <c r="G44" s="102"/>
      <c r="H44" s="103"/>
      <c r="I44" s="105"/>
      <c r="J44" s="106" t="str">
        <f aca="false">IF($C44="","",IF(Dashboard!$C$4="Gemiddeld per maand",$F44,IF(OR($D44="Per maand",$D44="Per week",$D44=""),$F44,IF($D44="Per jaar",IF(Dashboard!$N$2=$W44,$C44,0),IF($D44="Per half jaar",IF(MOD(Dashboard!$N$2-$W44,6)=0,$C44,0),IF($D44="Per kwartaal",IF(MOD(Dashboard!$N$2-$W44,3)=0,$C44,0),$F44))))))</f>
        <v/>
      </c>
      <c r="K44" s="107" t="str">
        <f aca="false">IF($C44="","",IF(Dashboard!$C$4="Gemiddeld per maand",$F44,IF(OR($D44="Per maand",$D44="Per week",$D44=""),$F44,IF($D44="Per jaar",IF(1=$W44,$C44,0),IF($D44="Per half jaar",IF(MOD(1-$W44,6)=0,$C44,0),IF($D44="Per kwartaal",IF(MOD(1-$W44,3)=0,$C44,0),$F44))))))</f>
        <v/>
      </c>
      <c r="L44" s="107" t="str">
        <f aca="false">IF($C44="","",IF(Dashboard!$C$4="Gemiddeld per maand",$F44,IF(OR($D44="Per maand",$D44="Per week",$D44=""),$F44,IF($D44="Per jaar",IF(2=$W44,$C44,0),IF($D44="Per half jaar",IF(MOD(2-$W44,6)=0,$C44,0),IF($D44="Per kwartaal",IF(MOD(2-$W44,3)=0,$C44,0),$F44))))))</f>
        <v/>
      </c>
      <c r="M44" s="107" t="str">
        <f aca="false">IF($C44="","",IF(Dashboard!$C$4="Gemiddeld per maand",$F44,IF(OR($D44="Per maand",$D44="Per week",$D44=""),$F44,IF($D44="Per jaar",IF(3=$W44,$C44,0),IF($D44="Per half jaar",IF(MOD(3-$W44,6)=0,$C44,0),IF($D44="Per kwartaal",IF(MOD(3-$W44,3)=0,$C44,0),$F44))))))</f>
        <v/>
      </c>
      <c r="N44" s="107" t="str">
        <f aca="false">IF($C44="","",IF(Dashboard!$C$4="Gemiddeld per maand",$F44,IF(OR($D44="Per maand",$D44="Per week",$D44=""),$F44,IF($D44="Per jaar",IF(4=$W44,$C44,0),IF($D44="Per half jaar",IF(MOD(4-$W44,6)=0,$C44,0),IF($D44="Per kwartaal",IF(MOD(4-$W44,3)=0,$C44,0),$F44))))))</f>
        <v/>
      </c>
      <c r="O44" s="107" t="str">
        <f aca="false">IF($C44="","",IF(Dashboard!$C$4="Gemiddeld per maand",$F44,IF(OR($D44="Per maand",$D44="Per week",$D44=""),$F44,IF($D44="Per jaar",IF(5=$W44,$C44,0),IF($D44="Per half jaar",IF(MOD(5-$W44,6)=0,$C44,0),IF($D44="Per kwartaal",IF(MOD(5-$W44,3)=0,$C44,0),$F44))))))</f>
        <v/>
      </c>
      <c r="P44" s="107" t="str">
        <f aca="false">IF($C44="","",IF(Dashboard!$C$4="Gemiddeld per maand",$F44,IF(OR($D44="Per maand",$D44="Per week",$D44=""),$F44,IF($D44="Per jaar",IF(6=$W44,$C44,0),IF($D44="Per half jaar",IF(MOD(6-$W44,6)=0,$C44,0),IF($D44="Per kwartaal",IF(MOD(6-$W44,3)=0,$C44,0),$F44))))))</f>
        <v/>
      </c>
      <c r="Q44" s="107" t="str">
        <f aca="false">IF($C44="","",IF(Dashboard!$C$4="Gemiddeld per maand",$F44,IF(OR($D44="Per maand",$D44="Per week",$D44=""),$F44,IF($D44="Per jaar",IF(7=$W44,$C44,0),IF($D44="Per half jaar",IF(MOD(7-$W44,6)=0,$C44,0),IF($D44="Per kwartaal",IF(MOD(7-$W44,3)=0,$C44,0),$F44))))))</f>
        <v/>
      </c>
      <c r="R44" s="107" t="str">
        <f aca="false">IF($C44="","",IF(Dashboard!$C$4="Gemiddeld per maand",$F44,IF(OR($D44="Per maand",$D44="Per week",$D44=""),$F44,IF($D44="Per jaar",IF(8=$W44,$C44,0),IF($D44="Per half jaar",IF(MOD(8-$W44,6)=0,$C44,0),IF($D44="Per kwartaal",IF(MOD(8-$W44,3)=0,$C44,0),$F44))))))</f>
        <v/>
      </c>
      <c r="S44" s="107" t="str">
        <f aca="false">IF($C44="","",IF(Dashboard!$C$4="Gemiddeld per maand",$F44,IF(OR($D44="Per maand",$D44="Per week",$D44=""),$F44,IF($D44="Per jaar",IF(9=$W44,$C44,0),IF($D44="Per half jaar",IF(MOD(9-$W44,6)=0,$C44,0),IF($D44="Per kwartaal",IF(MOD(9-$W44,3)=0,$C44,0),$F44))))))</f>
        <v/>
      </c>
      <c r="T44" s="107" t="str">
        <f aca="false">IF($C44="","",IF(Dashboard!$C$4="Gemiddeld per maand",$F44,IF(OR($D44="Per maand",$D44="Per week",$D44=""),$F44,IF($D44="Per jaar",IF(10=$W44,$C44,0),IF($D44="Per half jaar",IF(MOD(10-$W44,6)=0,$C44,0),IF($D44="Per kwartaal",IF(MOD(10-$W44,3)=0,$C44,0),$F44))))))</f>
        <v/>
      </c>
      <c r="U44" s="107" t="str">
        <f aca="false">IF($C44="","",IF(Dashboard!$C$4="Gemiddeld per maand",$F44,IF(OR($D44="Per maand",$D44="Per week",$D44=""),$F44,IF($D44="Per jaar",IF(11=$W44,$C44,0),IF($D44="Per half jaar",IF(MOD(11-$W44,6)=0,$C44,0),IF($D44="Per kwartaal",IF(MOD(11-$W44,3)=0,$C44,0),$F44))))))</f>
        <v/>
      </c>
      <c r="V44" s="107" t="str">
        <f aca="false">IF($C44="","",IF(Dashboard!$C$4="Gemiddeld per maand",$F44,IF(OR($D44="Per maand",$D44="Per week",$D44=""),$F44,IF($D44="Per jaar",IF(12=$W44,$C44,0),IF($D44="Per half jaar",IF(MOD(12-$W44,6)=0,$C44,0),IF($D44="Per kwartaal",IF(MOD(12-$W44,3)=0,$C44,0),$F44))))))</f>
        <v/>
      </c>
      <c r="W44" s="15" t="n">
        <f aca="false">IF($E44="",1,IFERROR(MATCH($E44,Lijsten!$K$6:$K$17,0),1))</f>
        <v>1</v>
      </c>
    </row>
    <row r="45" customFormat="false" ht="15" hidden="false" customHeight="false" outlineLevel="0" collapsed="false">
      <c r="A45" s="102"/>
      <c r="B45" s="102"/>
      <c r="C45" s="92"/>
      <c r="D45" s="102"/>
      <c r="E45" s="103"/>
      <c r="F45" s="104" t="str">
        <f aca="false">IF($C45="","",IF($D45="Per jaar",$C45/12,IF($D45="Per kwartaal",$C45/3,IF($D45="Per half jaar",$C45/6,IF($D45="Per week",$C45*52/12,$C45)))))</f>
        <v/>
      </c>
      <c r="G45" s="102"/>
      <c r="H45" s="103"/>
      <c r="I45" s="105"/>
      <c r="J45" s="106" t="str">
        <f aca="false">IF($C45="","",IF(Dashboard!$C$4="Gemiddeld per maand",$F45,IF(OR($D45="Per maand",$D45="Per week",$D45=""),$F45,IF($D45="Per jaar",IF(Dashboard!$N$2=$W45,$C45,0),IF($D45="Per half jaar",IF(MOD(Dashboard!$N$2-$W45,6)=0,$C45,0),IF($D45="Per kwartaal",IF(MOD(Dashboard!$N$2-$W45,3)=0,$C45,0),$F45))))))</f>
        <v/>
      </c>
      <c r="K45" s="107" t="str">
        <f aca="false">IF($C45="","",IF(Dashboard!$C$4="Gemiddeld per maand",$F45,IF(OR($D45="Per maand",$D45="Per week",$D45=""),$F45,IF($D45="Per jaar",IF(1=$W45,$C45,0),IF($D45="Per half jaar",IF(MOD(1-$W45,6)=0,$C45,0),IF($D45="Per kwartaal",IF(MOD(1-$W45,3)=0,$C45,0),$F45))))))</f>
        <v/>
      </c>
      <c r="L45" s="107" t="str">
        <f aca="false">IF($C45="","",IF(Dashboard!$C$4="Gemiddeld per maand",$F45,IF(OR($D45="Per maand",$D45="Per week",$D45=""),$F45,IF($D45="Per jaar",IF(2=$W45,$C45,0),IF($D45="Per half jaar",IF(MOD(2-$W45,6)=0,$C45,0),IF($D45="Per kwartaal",IF(MOD(2-$W45,3)=0,$C45,0),$F45))))))</f>
        <v/>
      </c>
      <c r="M45" s="107" t="str">
        <f aca="false">IF($C45="","",IF(Dashboard!$C$4="Gemiddeld per maand",$F45,IF(OR($D45="Per maand",$D45="Per week",$D45=""),$F45,IF($D45="Per jaar",IF(3=$W45,$C45,0),IF($D45="Per half jaar",IF(MOD(3-$W45,6)=0,$C45,0),IF($D45="Per kwartaal",IF(MOD(3-$W45,3)=0,$C45,0),$F45))))))</f>
        <v/>
      </c>
      <c r="N45" s="107" t="str">
        <f aca="false">IF($C45="","",IF(Dashboard!$C$4="Gemiddeld per maand",$F45,IF(OR($D45="Per maand",$D45="Per week",$D45=""),$F45,IF($D45="Per jaar",IF(4=$W45,$C45,0),IF($D45="Per half jaar",IF(MOD(4-$W45,6)=0,$C45,0),IF($D45="Per kwartaal",IF(MOD(4-$W45,3)=0,$C45,0),$F45))))))</f>
        <v/>
      </c>
      <c r="O45" s="107" t="str">
        <f aca="false">IF($C45="","",IF(Dashboard!$C$4="Gemiddeld per maand",$F45,IF(OR($D45="Per maand",$D45="Per week",$D45=""),$F45,IF($D45="Per jaar",IF(5=$W45,$C45,0),IF($D45="Per half jaar",IF(MOD(5-$W45,6)=0,$C45,0),IF($D45="Per kwartaal",IF(MOD(5-$W45,3)=0,$C45,0),$F45))))))</f>
        <v/>
      </c>
      <c r="P45" s="107" t="str">
        <f aca="false">IF($C45="","",IF(Dashboard!$C$4="Gemiddeld per maand",$F45,IF(OR($D45="Per maand",$D45="Per week",$D45=""),$F45,IF($D45="Per jaar",IF(6=$W45,$C45,0),IF($D45="Per half jaar",IF(MOD(6-$W45,6)=0,$C45,0),IF($D45="Per kwartaal",IF(MOD(6-$W45,3)=0,$C45,0),$F45))))))</f>
        <v/>
      </c>
      <c r="Q45" s="107" t="str">
        <f aca="false">IF($C45="","",IF(Dashboard!$C$4="Gemiddeld per maand",$F45,IF(OR($D45="Per maand",$D45="Per week",$D45=""),$F45,IF($D45="Per jaar",IF(7=$W45,$C45,0),IF($D45="Per half jaar",IF(MOD(7-$W45,6)=0,$C45,0),IF($D45="Per kwartaal",IF(MOD(7-$W45,3)=0,$C45,0),$F45))))))</f>
        <v/>
      </c>
      <c r="R45" s="107" t="str">
        <f aca="false">IF($C45="","",IF(Dashboard!$C$4="Gemiddeld per maand",$F45,IF(OR($D45="Per maand",$D45="Per week",$D45=""),$F45,IF($D45="Per jaar",IF(8=$W45,$C45,0),IF($D45="Per half jaar",IF(MOD(8-$W45,6)=0,$C45,0),IF($D45="Per kwartaal",IF(MOD(8-$W45,3)=0,$C45,0),$F45))))))</f>
        <v/>
      </c>
      <c r="S45" s="107" t="str">
        <f aca="false">IF($C45="","",IF(Dashboard!$C$4="Gemiddeld per maand",$F45,IF(OR($D45="Per maand",$D45="Per week",$D45=""),$F45,IF($D45="Per jaar",IF(9=$W45,$C45,0),IF($D45="Per half jaar",IF(MOD(9-$W45,6)=0,$C45,0),IF($D45="Per kwartaal",IF(MOD(9-$W45,3)=0,$C45,0),$F45))))))</f>
        <v/>
      </c>
      <c r="T45" s="107" t="str">
        <f aca="false">IF($C45="","",IF(Dashboard!$C$4="Gemiddeld per maand",$F45,IF(OR($D45="Per maand",$D45="Per week",$D45=""),$F45,IF($D45="Per jaar",IF(10=$W45,$C45,0),IF($D45="Per half jaar",IF(MOD(10-$W45,6)=0,$C45,0),IF($D45="Per kwartaal",IF(MOD(10-$W45,3)=0,$C45,0),$F45))))))</f>
        <v/>
      </c>
      <c r="U45" s="107" t="str">
        <f aca="false">IF($C45="","",IF(Dashboard!$C$4="Gemiddeld per maand",$F45,IF(OR($D45="Per maand",$D45="Per week",$D45=""),$F45,IF($D45="Per jaar",IF(11=$W45,$C45,0),IF($D45="Per half jaar",IF(MOD(11-$W45,6)=0,$C45,0),IF($D45="Per kwartaal",IF(MOD(11-$W45,3)=0,$C45,0),$F45))))))</f>
        <v/>
      </c>
      <c r="V45" s="107" t="str">
        <f aca="false">IF($C45="","",IF(Dashboard!$C$4="Gemiddeld per maand",$F45,IF(OR($D45="Per maand",$D45="Per week",$D45=""),$F45,IF($D45="Per jaar",IF(12=$W45,$C45,0),IF($D45="Per half jaar",IF(MOD(12-$W45,6)=0,$C45,0),IF($D45="Per kwartaal",IF(MOD(12-$W45,3)=0,$C45,0),$F45))))))</f>
        <v/>
      </c>
      <c r="W45" s="15" t="n">
        <f aca="false">IF($E45="",1,IFERROR(MATCH($E45,Lijsten!$K$6:$K$17,0),1))</f>
        <v>1</v>
      </c>
    </row>
    <row r="46" customFormat="false" ht="15" hidden="false" customHeight="false" outlineLevel="0" collapsed="false">
      <c r="A46" s="102"/>
      <c r="B46" s="102"/>
      <c r="C46" s="92"/>
      <c r="D46" s="102"/>
      <c r="E46" s="103"/>
      <c r="F46" s="104" t="str">
        <f aca="false">IF($C46="","",IF($D46="Per jaar",$C46/12,IF($D46="Per kwartaal",$C46/3,IF($D46="Per half jaar",$C46/6,IF($D46="Per week",$C46*52/12,$C46)))))</f>
        <v/>
      </c>
      <c r="G46" s="102"/>
      <c r="H46" s="103"/>
      <c r="I46" s="105"/>
      <c r="J46" s="106" t="str">
        <f aca="false">IF($C46="","",IF(Dashboard!$C$4="Gemiddeld per maand",$F46,IF(OR($D46="Per maand",$D46="Per week",$D46=""),$F46,IF($D46="Per jaar",IF(Dashboard!$N$2=$W46,$C46,0),IF($D46="Per half jaar",IF(MOD(Dashboard!$N$2-$W46,6)=0,$C46,0),IF($D46="Per kwartaal",IF(MOD(Dashboard!$N$2-$W46,3)=0,$C46,0),$F46))))))</f>
        <v/>
      </c>
      <c r="K46" s="107" t="str">
        <f aca="false">IF($C46="","",IF(Dashboard!$C$4="Gemiddeld per maand",$F46,IF(OR($D46="Per maand",$D46="Per week",$D46=""),$F46,IF($D46="Per jaar",IF(1=$W46,$C46,0),IF($D46="Per half jaar",IF(MOD(1-$W46,6)=0,$C46,0),IF($D46="Per kwartaal",IF(MOD(1-$W46,3)=0,$C46,0),$F46))))))</f>
        <v/>
      </c>
      <c r="L46" s="107" t="str">
        <f aca="false">IF($C46="","",IF(Dashboard!$C$4="Gemiddeld per maand",$F46,IF(OR($D46="Per maand",$D46="Per week",$D46=""),$F46,IF($D46="Per jaar",IF(2=$W46,$C46,0),IF($D46="Per half jaar",IF(MOD(2-$W46,6)=0,$C46,0),IF($D46="Per kwartaal",IF(MOD(2-$W46,3)=0,$C46,0),$F46))))))</f>
        <v/>
      </c>
      <c r="M46" s="107" t="str">
        <f aca="false">IF($C46="","",IF(Dashboard!$C$4="Gemiddeld per maand",$F46,IF(OR($D46="Per maand",$D46="Per week",$D46=""),$F46,IF($D46="Per jaar",IF(3=$W46,$C46,0),IF($D46="Per half jaar",IF(MOD(3-$W46,6)=0,$C46,0),IF($D46="Per kwartaal",IF(MOD(3-$W46,3)=0,$C46,0),$F46))))))</f>
        <v/>
      </c>
      <c r="N46" s="107" t="str">
        <f aca="false">IF($C46="","",IF(Dashboard!$C$4="Gemiddeld per maand",$F46,IF(OR($D46="Per maand",$D46="Per week",$D46=""),$F46,IF($D46="Per jaar",IF(4=$W46,$C46,0),IF($D46="Per half jaar",IF(MOD(4-$W46,6)=0,$C46,0),IF($D46="Per kwartaal",IF(MOD(4-$W46,3)=0,$C46,0),$F46))))))</f>
        <v/>
      </c>
      <c r="O46" s="107" t="str">
        <f aca="false">IF($C46="","",IF(Dashboard!$C$4="Gemiddeld per maand",$F46,IF(OR($D46="Per maand",$D46="Per week",$D46=""),$F46,IF($D46="Per jaar",IF(5=$W46,$C46,0),IF($D46="Per half jaar",IF(MOD(5-$W46,6)=0,$C46,0),IF($D46="Per kwartaal",IF(MOD(5-$W46,3)=0,$C46,0),$F46))))))</f>
        <v/>
      </c>
      <c r="P46" s="107" t="str">
        <f aca="false">IF($C46="","",IF(Dashboard!$C$4="Gemiddeld per maand",$F46,IF(OR($D46="Per maand",$D46="Per week",$D46=""),$F46,IF($D46="Per jaar",IF(6=$W46,$C46,0),IF($D46="Per half jaar",IF(MOD(6-$W46,6)=0,$C46,0),IF($D46="Per kwartaal",IF(MOD(6-$W46,3)=0,$C46,0),$F46))))))</f>
        <v/>
      </c>
      <c r="Q46" s="107" t="str">
        <f aca="false">IF($C46="","",IF(Dashboard!$C$4="Gemiddeld per maand",$F46,IF(OR($D46="Per maand",$D46="Per week",$D46=""),$F46,IF($D46="Per jaar",IF(7=$W46,$C46,0),IF($D46="Per half jaar",IF(MOD(7-$W46,6)=0,$C46,0),IF($D46="Per kwartaal",IF(MOD(7-$W46,3)=0,$C46,0),$F46))))))</f>
        <v/>
      </c>
      <c r="R46" s="107" t="str">
        <f aca="false">IF($C46="","",IF(Dashboard!$C$4="Gemiddeld per maand",$F46,IF(OR($D46="Per maand",$D46="Per week",$D46=""),$F46,IF($D46="Per jaar",IF(8=$W46,$C46,0),IF($D46="Per half jaar",IF(MOD(8-$W46,6)=0,$C46,0),IF($D46="Per kwartaal",IF(MOD(8-$W46,3)=0,$C46,0),$F46))))))</f>
        <v/>
      </c>
      <c r="S46" s="107" t="str">
        <f aca="false">IF($C46="","",IF(Dashboard!$C$4="Gemiddeld per maand",$F46,IF(OR($D46="Per maand",$D46="Per week",$D46=""),$F46,IF($D46="Per jaar",IF(9=$W46,$C46,0),IF($D46="Per half jaar",IF(MOD(9-$W46,6)=0,$C46,0),IF($D46="Per kwartaal",IF(MOD(9-$W46,3)=0,$C46,0),$F46))))))</f>
        <v/>
      </c>
      <c r="T46" s="107" t="str">
        <f aca="false">IF($C46="","",IF(Dashboard!$C$4="Gemiddeld per maand",$F46,IF(OR($D46="Per maand",$D46="Per week",$D46=""),$F46,IF($D46="Per jaar",IF(10=$W46,$C46,0),IF($D46="Per half jaar",IF(MOD(10-$W46,6)=0,$C46,0),IF($D46="Per kwartaal",IF(MOD(10-$W46,3)=0,$C46,0),$F46))))))</f>
        <v/>
      </c>
      <c r="U46" s="107" t="str">
        <f aca="false">IF($C46="","",IF(Dashboard!$C$4="Gemiddeld per maand",$F46,IF(OR($D46="Per maand",$D46="Per week",$D46=""),$F46,IF($D46="Per jaar",IF(11=$W46,$C46,0),IF($D46="Per half jaar",IF(MOD(11-$W46,6)=0,$C46,0),IF($D46="Per kwartaal",IF(MOD(11-$W46,3)=0,$C46,0),$F46))))))</f>
        <v/>
      </c>
      <c r="V46" s="107" t="str">
        <f aca="false">IF($C46="","",IF(Dashboard!$C$4="Gemiddeld per maand",$F46,IF(OR($D46="Per maand",$D46="Per week",$D46=""),$F46,IF($D46="Per jaar",IF(12=$W46,$C46,0),IF($D46="Per half jaar",IF(MOD(12-$W46,6)=0,$C46,0),IF($D46="Per kwartaal",IF(MOD(12-$W46,3)=0,$C46,0),$F46))))))</f>
        <v/>
      </c>
      <c r="W46" s="15" t="n">
        <f aca="false">IF($E46="",1,IFERROR(MATCH($E46,Lijsten!$K$6:$K$17,0),1))</f>
        <v>1</v>
      </c>
    </row>
    <row r="47" customFormat="false" ht="15" hidden="false" customHeight="false" outlineLevel="0" collapsed="false">
      <c r="A47" s="102"/>
      <c r="B47" s="102"/>
      <c r="C47" s="92"/>
      <c r="D47" s="102"/>
      <c r="E47" s="103"/>
      <c r="F47" s="104" t="str">
        <f aca="false">IF($C47="","",IF($D47="Per jaar",$C47/12,IF($D47="Per kwartaal",$C47/3,IF($D47="Per half jaar",$C47/6,IF($D47="Per week",$C47*52/12,$C47)))))</f>
        <v/>
      </c>
      <c r="G47" s="102"/>
      <c r="H47" s="103"/>
      <c r="I47" s="105"/>
      <c r="J47" s="106" t="str">
        <f aca="false">IF($C47="","",IF(Dashboard!$C$4="Gemiddeld per maand",$F47,IF(OR($D47="Per maand",$D47="Per week",$D47=""),$F47,IF($D47="Per jaar",IF(Dashboard!$N$2=$W47,$C47,0),IF($D47="Per half jaar",IF(MOD(Dashboard!$N$2-$W47,6)=0,$C47,0),IF($D47="Per kwartaal",IF(MOD(Dashboard!$N$2-$W47,3)=0,$C47,0),$F47))))))</f>
        <v/>
      </c>
      <c r="K47" s="107" t="str">
        <f aca="false">IF($C47="","",IF(Dashboard!$C$4="Gemiddeld per maand",$F47,IF(OR($D47="Per maand",$D47="Per week",$D47=""),$F47,IF($D47="Per jaar",IF(1=$W47,$C47,0),IF($D47="Per half jaar",IF(MOD(1-$W47,6)=0,$C47,0),IF($D47="Per kwartaal",IF(MOD(1-$W47,3)=0,$C47,0),$F47))))))</f>
        <v/>
      </c>
      <c r="L47" s="107" t="str">
        <f aca="false">IF($C47="","",IF(Dashboard!$C$4="Gemiddeld per maand",$F47,IF(OR($D47="Per maand",$D47="Per week",$D47=""),$F47,IF($D47="Per jaar",IF(2=$W47,$C47,0),IF($D47="Per half jaar",IF(MOD(2-$W47,6)=0,$C47,0),IF($D47="Per kwartaal",IF(MOD(2-$W47,3)=0,$C47,0),$F47))))))</f>
        <v/>
      </c>
      <c r="M47" s="107" t="str">
        <f aca="false">IF($C47="","",IF(Dashboard!$C$4="Gemiddeld per maand",$F47,IF(OR($D47="Per maand",$D47="Per week",$D47=""),$F47,IF($D47="Per jaar",IF(3=$W47,$C47,0),IF($D47="Per half jaar",IF(MOD(3-$W47,6)=0,$C47,0),IF($D47="Per kwartaal",IF(MOD(3-$W47,3)=0,$C47,0),$F47))))))</f>
        <v/>
      </c>
      <c r="N47" s="107" t="str">
        <f aca="false">IF($C47="","",IF(Dashboard!$C$4="Gemiddeld per maand",$F47,IF(OR($D47="Per maand",$D47="Per week",$D47=""),$F47,IF($D47="Per jaar",IF(4=$W47,$C47,0),IF($D47="Per half jaar",IF(MOD(4-$W47,6)=0,$C47,0),IF($D47="Per kwartaal",IF(MOD(4-$W47,3)=0,$C47,0),$F47))))))</f>
        <v/>
      </c>
      <c r="O47" s="107" t="str">
        <f aca="false">IF($C47="","",IF(Dashboard!$C$4="Gemiddeld per maand",$F47,IF(OR($D47="Per maand",$D47="Per week",$D47=""),$F47,IF($D47="Per jaar",IF(5=$W47,$C47,0),IF($D47="Per half jaar",IF(MOD(5-$W47,6)=0,$C47,0),IF($D47="Per kwartaal",IF(MOD(5-$W47,3)=0,$C47,0),$F47))))))</f>
        <v/>
      </c>
      <c r="P47" s="107" t="str">
        <f aca="false">IF($C47="","",IF(Dashboard!$C$4="Gemiddeld per maand",$F47,IF(OR($D47="Per maand",$D47="Per week",$D47=""),$F47,IF($D47="Per jaar",IF(6=$W47,$C47,0),IF($D47="Per half jaar",IF(MOD(6-$W47,6)=0,$C47,0),IF($D47="Per kwartaal",IF(MOD(6-$W47,3)=0,$C47,0),$F47))))))</f>
        <v/>
      </c>
      <c r="Q47" s="107" t="str">
        <f aca="false">IF($C47="","",IF(Dashboard!$C$4="Gemiddeld per maand",$F47,IF(OR($D47="Per maand",$D47="Per week",$D47=""),$F47,IF($D47="Per jaar",IF(7=$W47,$C47,0),IF($D47="Per half jaar",IF(MOD(7-$W47,6)=0,$C47,0),IF($D47="Per kwartaal",IF(MOD(7-$W47,3)=0,$C47,0),$F47))))))</f>
        <v/>
      </c>
      <c r="R47" s="107" t="str">
        <f aca="false">IF($C47="","",IF(Dashboard!$C$4="Gemiddeld per maand",$F47,IF(OR($D47="Per maand",$D47="Per week",$D47=""),$F47,IF($D47="Per jaar",IF(8=$W47,$C47,0),IF($D47="Per half jaar",IF(MOD(8-$W47,6)=0,$C47,0),IF($D47="Per kwartaal",IF(MOD(8-$W47,3)=0,$C47,0),$F47))))))</f>
        <v/>
      </c>
      <c r="S47" s="107" t="str">
        <f aca="false">IF($C47="","",IF(Dashboard!$C$4="Gemiddeld per maand",$F47,IF(OR($D47="Per maand",$D47="Per week",$D47=""),$F47,IF($D47="Per jaar",IF(9=$W47,$C47,0),IF($D47="Per half jaar",IF(MOD(9-$W47,6)=0,$C47,0),IF($D47="Per kwartaal",IF(MOD(9-$W47,3)=0,$C47,0),$F47))))))</f>
        <v/>
      </c>
      <c r="T47" s="107" t="str">
        <f aca="false">IF($C47="","",IF(Dashboard!$C$4="Gemiddeld per maand",$F47,IF(OR($D47="Per maand",$D47="Per week",$D47=""),$F47,IF($D47="Per jaar",IF(10=$W47,$C47,0),IF($D47="Per half jaar",IF(MOD(10-$W47,6)=0,$C47,0),IF($D47="Per kwartaal",IF(MOD(10-$W47,3)=0,$C47,0),$F47))))))</f>
        <v/>
      </c>
      <c r="U47" s="107" t="str">
        <f aca="false">IF($C47="","",IF(Dashboard!$C$4="Gemiddeld per maand",$F47,IF(OR($D47="Per maand",$D47="Per week",$D47=""),$F47,IF($D47="Per jaar",IF(11=$W47,$C47,0),IF($D47="Per half jaar",IF(MOD(11-$W47,6)=0,$C47,0),IF($D47="Per kwartaal",IF(MOD(11-$W47,3)=0,$C47,0),$F47))))))</f>
        <v/>
      </c>
      <c r="V47" s="107" t="str">
        <f aca="false">IF($C47="","",IF(Dashboard!$C$4="Gemiddeld per maand",$F47,IF(OR($D47="Per maand",$D47="Per week",$D47=""),$F47,IF($D47="Per jaar",IF(12=$W47,$C47,0),IF($D47="Per half jaar",IF(MOD(12-$W47,6)=0,$C47,0),IF($D47="Per kwartaal",IF(MOD(12-$W47,3)=0,$C47,0),$F47))))))</f>
        <v/>
      </c>
      <c r="W47" s="15" t="n">
        <f aca="false">IF($E47="",1,IFERROR(MATCH($E47,Lijsten!$K$6:$K$17,0),1))</f>
        <v>1</v>
      </c>
    </row>
    <row r="48" customFormat="false" ht="15" hidden="false" customHeight="false" outlineLevel="0" collapsed="false">
      <c r="A48" s="102"/>
      <c r="B48" s="102"/>
      <c r="C48" s="92"/>
      <c r="D48" s="102"/>
      <c r="E48" s="103"/>
      <c r="F48" s="104" t="str">
        <f aca="false">IF($C48="","",IF($D48="Per jaar",$C48/12,IF($D48="Per kwartaal",$C48/3,IF($D48="Per half jaar",$C48/6,IF($D48="Per week",$C48*52/12,$C48)))))</f>
        <v/>
      </c>
      <c r="G48" s="102"/>
      <c r="H48" s="103"/>
      <c r="I48" s="105"/>
      <c r="J48" s="106" t="str">
        <f aca="false">IF($C48="","",IF(Dashboard!$C$4="Gemiddeld per maand",$F48,IF(OR($D48="Per maand",$D48="Per week",$D48=""),$F48,IF($D48="Per jaar",IF(Dashboard!$N$2=$W48,$C48,0),IF($D48="Per half jaar",IF(MOD(Dashboard!$N$2-$W48,6)=0,$C48,0),IF($D48="Per kwartaal",IF(MOD(Dashboard!$N$2-$W48,3)=0,$C48,0),$F48))))))</f>
        <v/>
      </c>
      <c r="K48" s="107" t="str">
        <f aca="false">IF($C48="","",IF(Dashboard!$C$4="Gemiddeld per maand",$F48,IF(OR($D48="Per maand",$D48="Per week",$D48=""),$F48,IF($D48="Per jaar",IF(1=$W48,$C48,0),IF($D48="Per half jaar",IF(MOD(1-$W48,6)=0,$C48,0),IF($D48="Per kwartaal",IF(MOD(1-$W48,3)=0,$C48,0),$F48))))))</f>
        <v/>
      </c>
      <c r="L48" s="107" t="str">
        <f aca="false">IF($C48="","",IF(Dashboard!$C$4="Gemiddeld per maand",$F48,IF(OR($D48="Per maand",$D48="Per week",$D48=""),$F48,IF($D48="Per jaar",IF(2=$W48,$C48,0),IF($D48="Per half jaar",IF(MOD(2-$W48,6)=0,$C48,0),IF($D48="Per kwartaal",IF(MOD(2-$W48,3)=0,$C48,0),$F48))))))</f>
        <v/>
      </c>
      <c r="M48" s="107" t="str">
        <f aca="false">IF($C48="","",IF(Dashboard!$C$4="Gemiddeld per maand",$F48,IF(OR($D48="Per maand",$D48="Per week",$D48=""),$F48,IF($D48="Per jaar",IF(3=$W48,$C48,0),IF($D48="Per half jaar",IF(MOD(3-$W48,6)=0,$C48,0),IF($D48="Per kwartaal",IF(MOD(3-$W48,3)=0,$C48,0),$F48))))))</f>
        <v/>
      </c>
      <c r="N48" s="107" t="str">
        <f aca="false">IF($C48="","",IF(Dashboard!$C$4="Gemiddeld per maand",$F48,IF(OR($D48="Per maand",$D48="Per week",$D48=""),$F48,IF($D48="Per jaar",IF(4=$W48,$C48,0),IF($D48="Per half jaar",IF(MOD(4-$W48,6)=0,$C48,0),IF($D48="Per kwartaal",IF(MOD(4-$W48,3)=0,$C48,0),$F48))))))</f>
        <v/>
      </c>
      <c r="O48" s="107" t="str">
        <f aca="false">IF($C48="","",IF(Dashboard!$C$4="Gemiddeld per maand",$F48,IF(OR($D48="Per maand",$D48="Per week",$D48=""),$F48,IF($D48="Per jaar",IF(5=$W48,$C48,0),IF($D48="Per half jaar",IF(MOD(5-$W48,6)=0,$C48,0),IF($D48="Per kwartaal",IF(MOD(5-$W48,3)=0,$C48,0),$F48))))))</f>
        <v/>
      </c>
      <c r="P48" s="107" t="str">
        <f aca="false">IF($C48="","",IF(Dashboard!$C$4="Gemiddeld per maand",$F48,IF(OR($D48="Per maand",$D48="Per week",$D48=""),$F48,IF($D48="Per jaar",IF(6=$W48,$C48,0),IF($D48="Per half jaar",IF(MOD(6-$W48,6)=0,$C48,0),IF($D48="Per kwartaal",IF(MOD(6-$W48,3)=0,$C48,0),$F48))))))</f>
        <v/>
      </c>
      <c r="Q48" s="107" t="str">
        <f aca="false">IF($C48="","",IF(Dashboard!$C$4="Gemiddeld per maand",$F48,IF(OR($D48="Per maand",$D48="Per week",$D48=""),$F48,IF($D48="Per jaar",IF(7=$W48,$C48,0),IF($D48="Per half jaar",IF(MOD(7-$W48,6)=0,$C48,0),IF($D48="Per kwartaal",IF(MOD(7-$W48,3)=0,$C48,0),$F48))))))</f>
        <v/>
      </c>
      <c r="R48" s="107" t="str">
        <f aca="false">IF($C48="","",IF(Dashboard!$C$4="Gemiddeld per maand",$F48,IF(OR($D48="Per maand",$D48="Per week",$D48=""),$F48,IF($D48="Per jaar",IF(8=$W48,$C48,0),IF($D48="Per half jaar",IF(MOD(8-$W48,6)=0,$C48,0),IF($D48="Per kwartaal",IF(MOD(8-$W48,3)=0,$C48,0),$F48))))))</f>
        <v/>
      </c>
      <c r="S48" s="107" t="str">
        <f aca="false">IF($C48="","",IF(Dashboard!$C$4="Gemiddeld per maand",$F48,IF(OR($D48="Per maand",$D48="Per week",$D48=""),$F48,IF($D48="Per jaar",IF(9=$W48,$C48,0),IF($D48="Per half jaar",IF(MOD(9-$W48,6)=0,$C48,0),IF($D48="Per kwartaal",IF(MOD(9-$W48,3)=0,$C48,0),$F48))))))</f>
        <v/>
      </c>
      <c r="T48" s="107" t="str">
        <f aca="false">IF($C48="","",IF(Dashboard!$C$4="Gemiddeld per maand",$F48,IF(OR($D48="Per maand",$D48="Per week",$D48=""),$F48,IF($D48="Per jaar",IF(10=$W48,$C48,0),IF($D48="Per half jaar",IF(MOD(10-$W48,6)=0,$C48,0),IF($D48="Per kwartaal",IF(MOD(10-$W48,3)=0,$C48,0),$F48))))))</f>
        <v/>
      </c>
      <c r="U48" s="107" t="str">
        <f aca="false">IF($C48="","",IF(Dashboard!$C$4="Gemiddeld per maand",$F48,IF(OR($D48="Per maand",$D48="Per week",$D48=""),$F48,IF($D48="Per jaar",IF(11=$W48,$C48,0),IF($D48="Per half jaar",IF(MOD(11-$W48,6)=0,$C48,0),IF($D48="Per kwartaal",IF(MOD(11-$W48,3)=0,$C48,0),$F48))))))</f>
        <v/>
      </c>
      <c r="V48" s="107" t="str">
        <f aca="false">IF($C48="","",IF(Dashboard!$C$4="Gemiddeld per maand",$F48,IF(OR($D48="Per maand",$D48="Per week",$D48=""),$F48,IF($D48="Per jaar",IF(12=$W48,$C48,0),IF($D48="Per half jaar",IF(MOD(12-$W48,6)=0,$C48,0),IF($D48="Per kwartaal",IF(MOD(12-$W48,3)=0,$C48,0),$F48))))))</f>
        <v/>
      </c>
      <c r="W48" s="15" t="n">
        <f aca="false">IF($E48="",1,IFERROR(MATCH($E48,Lijsten!$K$6:$K$17,0),1))</f>
        <v>1</v>
      </c>
    </row>
    <row r="49" customFormat="false" ht="15" hidden="false" customHeight="false" outlineLevel="0" collapsed="false">
      <c r="A49" s="102"/>
      <c r="B49" s="102"/>
      <c r="C49" s="92"/>
      <c r="D49" s="102"/>
      <c r="E49" s="103"/>
      <c r="F49" s="104" t="str">
        <f aca="false">IF($C49="","",IF($D49="Per jaar",$C49/12,IF($D49="Per kwartaal",$C49/3,IF($D49="Per half jaar",$C49/6,IF($D49="Per week",$C49*52/12,$C49)))))</f>
        <v/>
      </c>
      <c r="G49" s="102"/>
      <c r="H49" s="103"/>
      <c r="I49" s="105"/>
      <c r="J49" s="106" t="str">
        <f aca="false">IF($C49="","",IF(Dashboard!$C$4="Gemiddeld per maand",$F49,IF(OR($D49="Per maand",$D49="Per week",$D49=""),$F49,IF($D49="Per jaar",IF(Dashboard!$N$2=$W49,$C49,0),IF($D49="Per half jaar",IF(MOD(Dashboard!$N$2-$W49,6)=0,$C49,0),IF($D49="Per kwartaal",IF(MOD(Dashboard!$N$2-$W49,3)=0,$C49,0),$F49))))))</f>
        <v/>
      </c>
      <c r="K49" s="107" t="str">
        <f aca="false">IF($C49="","",IF(Dashboard!$C$4="Gemiddeld per maand",$F49,IF(OR($D49="Per maand",$D49="Per week",$D49=""),$F49,IF($D49="Per jaar",IF(1=$W49,$C49,0),IF($D49="Per half jaar",IF(MOD(1-$W49,6)=0,$C49,0),IF($D49="Per kwartaal",IF(MOD(1-$W49,3)=0,$C49,0),$F49))))))</f>
        <v/>
      </c>
      <c r="L49" s="107" t="str">
        <f aca="false">IF($C49="","",IF(Dashboard!$C$4="Gemiddeld per maand",$F49,IF(OR($D49="Per maand",$D49="Per week",$D49=""),$F49,IF($D49="Per jaar",IF(2=$W49,$C49,0),IF($D49="Per half jaar",IF(MOD(2-$W49,6)=0,$C49,0),IF($D49="Per kwartaal",IF(MOD(2-$W49,3)=0,$C49,0),$F49))))))</f>
        <v/>
      </c>
      <c r="M49" s="107" t="str">
        <f aca="false">IF($C49="","",IF(Dashboard!$C$4="Gemiddeld per maand",$F49,IF(OR($D49="Per maand",$D49="Per week",$D49=""),$F49,IF($D49="Per jaar",IF(3=$W49,$C49,0),IF($D49="Per half jaar",IF(MOD(3-$W49,6)=0,$C49,0),IF($D49="Per kwartaal",IF(MOD(3-$W49,3)=0,$C49,0),$F49))))))</f>
        <v/>
      </c>
      <c r="N49" s="107" t="str">
        <f aca="false">IF($C49="","",IF(Dashboard!$C$4="Gemiddeld per maand",$F49,IF(OR($D49="Per maand",$D49="Per week",$D49=""),$F49,IF($D49="Per jaar",IF(4=$W49,$C49,0),IF($D49="Per half jaar",IF(MOD(4-$W49,6)=0,$C49,0),IF($D49="Per kwartaal",IF(MOD(4-$W49,3)=0,$C49,0),$F49))))))</f>
        <v/>
      </c>
      <c r="O49" s="107" t="str">
        <f aca="false">IF($C49="","",IF(Dashboard!$C$4="Gemiddeld per maand",$F49,IF(OR($D49="Per maand",$D49="Per week",$D49=""),$F49,IF($D49="Per jaar",IF(5=$W49,$C49,0),IF($D49="Per half jaar",IF(MOD(5-$W49,6)=0,$C49,0),IF($D49="Per kwartaal",IF(MOD(5-$W49,3)=0,$C49,0),$F49))))))</f>
        <v/>
      </c>
      <c r="P49" s="107" t="str">
        <f aca="false">IF($C49="","",IF(Dashboard!$C$4="Gemiddeld per maand",$F49,IF(OR($D49="Per maand",$D49="Per week",$D49=""),$F49,IF($D49="Per jaar",IF(6=$W49,$C49,0),IF($D49="Per half jaar",IF(MOD(6-$W49,6)=0,$C49,0),IF($D49="Per kwartaal",IF(MOD(6-$W49,3)=0,$C49,0),$F49))))))</f>
        <v/>
      </c>
      <c r="Q49" s="107" t="str">
        <f aca="false">IF($C49="","",IF(Dashboard!$C$4="Gemiddeld per maand",$F49,IF(OR($D49="Per maand",$D49="Per week",$D49=""),$F49,IF($D49="Per jaar",IF(7=$W49,$C49,0),IF($D49="Per half jaar",IF(MOD(7-$W49,6)=0,$C49,0),IF($D49="Per kwartaal",IF(MOD(7-$W49,3)=0,$C49,0),$F49))))))</f>
        <v/>
      </c>
      <c r="R49" s="107" t="str">
        <f aca="false">IF($C49="","",IF(Dashboard!$C$4="Gemiddeld per maand",$F49,IF(OR($D49="Per maand",$D49="Per week",$D49=""),$F49,IF($D49="Per jaar",IF(8=$W49,$C49,0),IF($D49="Per half jaar",IF(MOD(8-$W49,6)=0,$C49,0),IF($D49="Per kwartaal",IF(MOD(8-$W49,3)=0,$C49,0),$F49))))))</f>
        <v/>
      </c>
      <c r="S49" s="107" t="str">
        <f aca="false">IF($C49="","",IF(Dashboard!$C$4="Gemiddeld per maand",$F49,IF(OR($D49="Per maand",$D49="Per week",$D49=""),$F49,IF($D49="Per jaar",IF(9=$W49,$C49,0),IF($D49="Per half jaar",IF(MOD(9-$W49,6)=0,$C49,0),IF($D49="Per kwartaal",IF(MOD(9-$W49,3)=0,$C49,0),$F49))))))</f>
        <v/>
      </c>
      <c r="T49" s="107" t="str">
        <f aca="false">IF($C49="","",IF(Dashboard!$C$4="Gemiddeld per maand",$F49,IF(OR($D49="Per maand",$D49="Per week",$D49=""),$F49,IF($D49="Per jaar",IF(10=$W49,$C49,0),IF($D49="Per half jaar",IF(MOD(10-$W49,6)=0,$C49,0),IF($D49="Per kwartaal",IF(MOD(10-$W49,3)=0,$C49,0),$F49))))))</f>
        <v/>
      </c>
      <c r="U49" s="107" t="str">
        <f aca="false">IF($C49="","",IF(Dashboard!$C$4="Gemiddeld per maand",$F49,IF(OR($D49="Per maand",$D49="Per week",$D49=""),$F49,IF($D49="Per jaar",IF(11=$W49,$C49,0),IF($D49="Per half jaar",IF(MOD(11-$W49,6)=0,$C49,0),IF($D49="Per kwartaal",IF(MOD(11-$W49,3)=0,$C49,0),$F49))))))</f>
        <v/>
      </c>
      <c r="V49" s="107" t="str">
        <f aca="false">IF($C49="","",IF(Dashboard!$C$4="Gemiddeld per maand",$F49,IF(OR($D49="Per maand",$D49="Per week",$D49=""),$F49,IF($D49="Per jaar",IF(12=$W49,$C49,0),IF($D49="Per half jaar",IF(MOD(12-$W49,6)=0,$C49,0),IF($D49="Per kwartaal",IF(MOD(12-$W49,3)=0,$C49,0),$F49))))))</f>
        <v/>
      </c>
      <c r="W49" s="15" t="n">
        <f aca="false">IF($E49="",1,IFERROR(MATCH($E49,Lijsten!$K$6:$K$17,0),1))</f>
        <v>1</v>
      </c>
    </row>
    <row r="50" customFormat="false" ht="15" hidden="false" customHeight="false" outlineLevel="0" collapsed="false">
      <c r="A50" s="102"/>
      <c r="B50" s="102"/>
      <c r="C50" s="92"/>
      <c r="D50" s="102"/>
      <c r="E50" s="103"/>
      <c r="F50" s="104" t="str">
        <f aca="false">IF($C50="","",IF($D50="Per jaar",$C50/12,IF($D50="Per kwartaal",$C50/3,IF($D50="Per half jaar",$C50/6,IF($D50="Per week",$C50*52/12,$C50)))))</f>
        <v/>
      </c>
      <c r="G50" s="102"/>
      <c r="H50" s="103"/>
      <c r="I50" s="105"/>
      <c r="J50" s="106" t="str">
        <f aca="false">IF($C50="","",IF(Dashboard!$C$4="Gemiddeld per maand",$F50,IF(OR($D50="Per maand",$D50="Per week",$D50=""),$F50,IF($D50="Per jaar",IF(Dashboard!$N$2=$W50,$C50,0),IF($D50="Per half jaar",IF(MOD(Dashboard!$N$2-$W50,6)=0,$C50,0),IF($D50="Per kwartaal",IF(MOD(Dashboard!$N$2-$W50,3)=0,$C50,0),$F50))))))</f>
        <v/>
      </c>
      <c r="K50" s="107" t="str">
        <f aca="false">IF($C50="","",IF(Dashboard!$C$4="Gemiddeld per maand",$F50,IF(OR($D50="Per maand",$D50="Per week",$D50=""),$F50,IF($D50="Per jaar",IF(1=$W50,$C50,0),IF($D50="Per half jaar",IF(MOD(1-$W50,6)=0,$C50,0),IF($D50="Per kwartaal",IF(MOD(1-$W50,3)=0,$C50,0),$F50))))))</f>
        <v/>
      </c>
      <c r="L50" s="107" t="str">
        <f aca="false">IF($C50="","",IF(Dashboard!$C$4="Gemiddeld per maand",$F50,IF(OR($D50="Per maand",$D50="Per week",$D50=""),$F50,IF($D50="Per jaar",IF(2=$W50,$C50,0),IF($D50="Per half jaar",IF(MOD(2-$W50,6)=0,$C50,0),IF($D50="Per kwartaal",IF(MOD(2-$W50,3)=0,$C50,0),$F50))))))</f>
        <v/>
      </c>
      <c r="M50" s="107" t="str">
        <f aca="false">IF($C50="","",IF(Dashboard!$C$4="Gemiddeld per maand",$F50,IF(OR($D50="Per maand",$D50="Per week",$D50=""),$F50,IF($D50="Per jaar",IF(3=$W50,$C50,0),IF($D50="Per half jaar",IF(MOD(3-$W50,6)=0,$C50,0),IF($D50="Per kwartaal",IF(MOD(3-$W50,3)=0,$C50,0),$F50))))))</f>
        <v/>
      </c>
      <c r="N50" s="107" t="str">
        <f aca="false">IF($C50="","",IF(Dashboard!$C$4="Gemiddeld per maand",$F50,IF(OR($D50="Per maand",$D50="Per week",$D50=""),$F50,IF($D50="Per jaar",IF(4=$W50,$C50,0),IF($D50="Per half jaar",IF(MOD(4-$W50,6)=0,$C50,0),IF($D50="Per kwartaal",IF(MOD(4-$W50,3)=0,$C50,0),$F50))))))</f>
        <v/>
      </c>
      <c r="O50" s="107" t="str">
        <f aca="false">IF($C50="","",IF(Dashboard!$C$4="Gemiddeld per maand",$F50,IF(OR($D50="Per maand",$D50="Per week",$D50=""),$F50,IF($D50="Per jaar",IF(5=$W50,$C50,0),IF($D50="Per half jaar",IF(MOD(5-$W50,6)=0,$C50,0),IF($D50="Per kwartaal",IF(MOD(5-$W50,3)=0,$C50,0),$F50))))))</f>
        <v/>
      </c>
      <c r="P50" s="107" t="str">
        <f aca="false">IF($C50="","",IF(Dashboard!$C$4="Gemiddeld per maand",$F50,IF(OR($D50="Per maand",$D50="Per week",$D50=""),$F50,IF($D50="Per jaar",IF(6=$W50,$C50,0),IF($D50="Per half jaar",IF(MOD(6-$W50,6)=0,$C50,0),IF($D50="Per kwartaal",IF(MOD(6-$W50,3)=0,$C50,0),$F50))))))</f>
        <v/>
      </c>
      <c r="Q50" s="107" t="str">
        <f aca="false">IF($C50="","",IF(Dashboard!$C$4="Gemiddeld per maand",$F50,IF(OR($D50="Per maand",$D50="Per week",$D50=""),$F50,IF($D50="Per jaar",IF(7=$W50,$C50,0),IF($D50="Per half jaar",IF(MOD(7-$W50,6)=0,$C50,0),IF($D50="Per kwartaal",IF(MOD(7-$W50,3)=0,$C50,0),$F50))))))</f>
        <v/>
      </c>
      <c r="R50" s="107" t="str">
        <f aca="false">IF($C50="","",IF(Dashboard!$C$4="Gemiddeld per maand",$F50,IF(OR($D50="Per maand",$D50="Per week",$D50=""),$F50,IF($D50="Per jaar",IF(8=$W50,$C50,0),IF($D50="Per half jaar",IF(MOD(8-$W50,6)=0,$C50,0),IF($D50="Per kwartaal",IF(MOD(8-$W50,3)=0,$C50,0),$F50))))))</f>
        <v/>
      </c>
      <c r="S50" s="107" t="str">
        <f aca="false">IF($C50="","",IF(Dashboard!$C$4="Gemiddeld per maand",$F50,IF(OR($D50="Per maand",$D50="Per week",$D50=""),$F50,IF($D50="Per jaar",IF(9=$W50,$C50,0),IF($D50="Per half jaar",IF(MOD(9-$W50,6)=0,$C50,0),IF($D50="Per kwartaal",IF(MOD(9-$W50,3)=0,$C50,0),$F50))))))</f>
        <v/>
      </c>
      <c r="T50" s="107" t="str">
        <f aca="false">IF($C50="","",IF(Dashboard!$C$4="Gemiddeld per maand",$F50,IF(OR($D50="Per maand",$D50="Per week",$D50=""),$F50,IF($D50="Per jaar",IF(10=$W50,$C50,0),IF($D50="Per half jaar",IF(MOD(10-$W50,6)=0,$C50,0),IF($D50="Per kwartaal",IF(MOD(10-$W50,3)=0,$C50,0),$F50))))))</f>
        <v/>
      </c>
      <c r="U50" s="107" t="str">
        <f aca="false">IF($C50="","",IF(Dashboard!$C$4="Gemiddeld per maand",$F50,IF(OR($D50="Per maand",$D50="Per week",$D50=""),$F50,IF($D50="Per jaar",IF(11=$W50,$C50,0),IF($D50="Per half jaar",IF(MOD(11-$W50,6)=0,$C50,0),IF($D50="Per kwartaal",IF(MOD(11-$W50,3)=0,$C50,0),$F50))))))</f>
        <v/>
      </c>
      <c r="V50" s="107" t="str">
        <f aca="false">IF($C50="","",IF(Dashboard!$C$4="Gemiddeld per maand",$F50,IF(OR($D50="Per maand",$D50="Per week",$D50=""),$F50,IF($D50="Per jaar",IF(12=$W50,$C50,0),IF($D50="Per half jaar",IF(MOD(12-$W50,6)=0,$C50,0),IF($D50="Per kwartaal",IF(MOD(12-$W50,3)=0,$C50,0),$F50))))))</f>
        <v/>
      </c>
      <c r="W50" s="15" t="n">
        <f aca="false">IF($E50="",1,IFERROR(MATCH($E50,Lijsten!$K$6:$K$17,0),1))</f>
        <v>1</v>
      </c>
    </row>
    <row r="51" customFormat="false" ht="15" hidden="false" customHeight="false" outlineLevel="0" collapsed="false">
      <c r="A51" s="102"/>
      <c r="B51" s="102"/>
      <c r="C51" s="92"/>
      <c r="D51" s="102"/>
      <c r="E51" s="103"/>
      <c r="F51" s="104" t="str">
        <f aca="false">IF($C51="","",IF($D51="Per jaar",$C51/12,IF($D51="Per kwartaal",$C51/3,IF($D51="Per half jaar",$C51/6,IF($D51="Per week",$C51*52/12,$C51)))))</f>
        <v/>
      </c>
      <c r="G51" s="102"/>
      <c r="H51" s="103"/>
      <c r="I51" s="105"/>
      <c r="J51" s="106" t="str">
        <f aca="false">IF($C51="","",IF(Dashboard!$C$4="Gemiddeld per maand",$F51,IF(OR($D51="Per maand",$D51="Per week",$D51=""),$F51,IF($D51="Per jaar",IF(Dashboard!$N$2=$W51,$C51,0),IF($D51="Per half jaar",IF(MOD(Dashboard!$N$2-$W51,6)=0,$C51,0),IF($D51="Per kwartaal",IF(MOD(Dashboard!$N$2-$W51,3)=0,$C51,0),$F51))))))</f>
        <v/>
      </c>
      <c r="K51" s="107" t="str">
        <f aca="false">IF($C51="","",IF(Dashboard!$C$4="Gemiddeld per maand",$F51,IF(OR($D51="Per maand",$D51="Per week",$D51=""),$F51,IF($D51="Per jaar",IF(1=$W51,$C51,0),IF($D51="Per half jaar",IF(MOD(1-$W51,6)=0,$C51,0),IF($D51="Per kwartaal",IF(MOD(1-$W51,3)=0,$C51,0),$F51))))))</f>
        <v/>
      </c>
      <c r="L51" s="107" t="str">
        <f aca="false">IF($C51="","",IF(Dashboard!$C$4="Gemiddeld per maand",$F51,IF(OR($D51="Per maand",$D51="Per week",$D51=""),$F51,IF($D51="Per jaar",IF(2=$W51,$C51,0),IF($D51="Per half jaar",IF(MOD(2-$W51,6)=0,$C51,0),IF($D51="Per kwartaal",IF(MOD(2-$W51,3)=0,$C51,0),$F51))))))</f>
        <v/>
      </c>
      <c r="M51" s="107" t="str">
        <f aca="false">IF($C51="","",IF(Dashboard!$C$4="Gemiddeld per maand",$F51,IF(OR($D51="Per maand",$D51="Per week",$D51=""),$F51,IF($D51="Per jaar",IF(3=$W51,$C51,0),IF($D51="Per half jaar",IF(MOD(3-$W51,6)=0,$C51,0),IF($D51="Per kwartaal",IF(MOD(3-$W51,3)=0,$C51,0),$F51))))))</f>
        <v/>
      </c>
      <c r="N51" s="107" t="str">
        <f aca="false">IF($C51="","",IF(Dashboard!$C$4="Gemiddeld per maand",$F51,IF(OR($D51="Per maand",$D51="Per week",$D51=""),$F51,IF($D51="Per jaar",IF(4=$W51,$C51,0),IF($D51="Per half jaar",IF(MOD(4-$W51,6)=0,$C51,0),IF($D51="Per kwartaal",IF(MOD(4-$W51,3)=0,$C51,0),$F51))))))</f>
        <v/>
      </c>
      <c r="O51" s="107" t="str">
        <f aca="false">IF($C51="","",IF(Dashboard!$C$4="Gemiddeld per maand",$F51,IF(OR($D51="Per maand",$D51="Per week",$D51=""),$F51,IF($D51="Per jaar",IF(5=$W51,$C51,0),IF($D51="Per half jaar",IF(MOD(5-$W51,6)=0,$C51,0),IF($D51="Per kwartaal",IF(MOD(5-$W51,3)=0,$C51,0),$F51))))))</f>
        <v/>
      </c>
      <c r="P51" s="107" t="str">
        <f aca="false">IF($C51="","",IF(Dashboard!$C$4="Gemiddeld per maand",$F51,IF(OR($D51="Per maand",$D51="Per week",$D51=""),$F51,IF($D51="Per jaar",IF(6=$W51,$C51,0),IF($D51="Per half jaar",IF(MOD(6-$W51,6)=0,$C51,0),IF($D51="Per kwartaal",IF(MOD(6-$W51,3)=0,$C51,0),$F51))))))</f>
        <v/>
      </c>
      <c r="Q51" s="107" t="str">
        <f aca="false">IF($C51="","",IF(Dashboard!$C$4="Gemiddeld per maand",$F51,IF(OR($D51="Per maand",$D51="Per week",$D51=""),$F51,IF($D51="Per jaar",IF(7=$W51,$C51,0),IF($D51="Per half jaar",IF(MOD(7-$W51,6)=0,$C51,0),IF($D51="Per kwartaal",IF(MOD(7-$W51,3)=0,$C51,0),$F51))))))</f>
        <v/>
      </c>
      <c r="R51" s="107" t="str">
        <f aca="false">IF($C51="","",IF(Dashboard!$C$4="Gemiddeld per maand",$F51,IF(OR($D51="Per maand",$D51="Per week",$D51=""),$F51,IF($D51="Per jaar",IF(8=$W51,$C51,0),IF($D51="Per half jaar",IF(MOD(8-$W51,6)=0,$C51,0),IF($D51="Per kwartaal",IF(MOD(8-$W51,3)=0,$C51,0),$F51))))))</f>
        <v/>
      </c>
      <c r="S51" s="107" t="str">
        <f aca="false">IF($C51="","",IF(Dashboard!$C$4="Gemiddeld per maand",$F51,IF(OR($D51="Per maand",$D51="Per week",$D51=""),$F51,IF($D51="Per jaar",IF(9=$W51,$C51,0),IF($D51="Per half jaar",IF(MOD(9-$W51,6)=0,$C51,0),IF($D51="Per kwartaal",IF(MOD(9-$W51,3)=0,$C51,0),$F51))))))</f>
        <v/>
      </c>
      <c r="T51" s="107" t="str">
        <f aca="false">IF($C51="","",IF(Dashboard!$C$4="Gemiddeld per maand",$F51,IF(OR($D51="Per maand",$D51="Per week",$D51=""),$F51,IF($D51="Per jaar",IF(10=$W51,$C51,0),IF($D51="Per half jaar",IF(MOD(10-$W51,6)=0,$C51,0),IF($D51="Per kwartaal",IF(MOD(10-$W51,3)=0,$C51,0),$F51))))))</f>
        <v/>
      </c>
      <c r="U51" s="107" t="str">
        <f aca="false">IF($C51="","",IF(Dashboard!$C$4="Gemiddeld per maand",$F51,IF(OR($D51="Per maand",$D51="Per week",$D51=""),$F51,IF($D51="Per jaar",IF(11=$W51,$C51,0),IF($D51="Per half jaar",IF(MOD(11-$W51,6)=0,$C51,0),IF($D51="Per kwartaal",IF(MOD(11-$W51,3)=0,$C51,0),$F51))))))</f>
        <v/>
      </c>
      <c r="V51" s="107" t="str">
        <f aca="false">IF($C51="","",IF(Dashboard!$C$4="Gemiddeld per maand",$F51,IF(OR($D51="Per maand",$D51="Per week",$D51=""),$F51,IF($D51="Per jaar",IF(12=$W51,$C51,0),IF($D51="Per half jaar",IF(MOD(12-$W51,6)=0,$C51,0),IF($D51="Per kwartaal",IF(MOD(12-$W51,3)=0,$C51,0),$F51))))))</f>
        <v/>
      </c>
      <c r="W51" s="15" t="n">
        <f aca="false">IF($E51="",1,IFERROR(MATCH($E51,Lijsten!$K$6:$K$17,0),1))</f>
        <v>1</v>
      </c>
    </row>
    <row r="52" customFormat="false" ht="15" hidden="false" customHeight="false" outlineLevel="0" collapsed="false">
      <c r="A52" s="102"/>
      <c r="B52" s="102"/>
      <c r="C52" s="92"/>
      <c r="D52" s="102"/>
      <c r="E52" s="103"/>
      <c r="F52" s="104" t="str">
        <f aca="false">IF($C52="","",IF($D52="Per jaar",$C52/12,IF($D52="Per kwartaal",$C52/3,IF($D52="Per half jaar",$C52/6,IF($D52="Per week",$C52*52/12,$C52)))))</f>
        <v/>
      </c>
      <c r="G52" s="102"/>
      <c r="H52" s="103"/>
      <c r="I52" s="105"/>
      <c r="J52" s="106" t="str">
        <f aca="false">IF($C52="","",IF(Dashboard!$C$4="Gemiddeld per maand",$F52,IF(OR($D52="Per maand",$D52="Per week",$D52=""),$F52,IF($D52="Per jaar",IF(Dashboard!$N$2=$W52,$C52,0),IF($D52="Per half jaar",IF(MOD(Dashboard!$N$2-$W52,6)=0,$C52,0),IF($D52="Per kwartaal",IF(MOD(Dashboard!$N$2-$W52,3)=0,$C52,0),$F52))))))</f>
        <v/>
      </c>
      <c r="K52" s="107" t="str">
        <f aca="false">IF($C52="","",IF(Dashboard!$C$4="Gemiddeld per maand",$F52,IF(OR($D52="Per maand",$D52="Per week",$D52=""),$F52,IF($D52="Per jaar",IF(1=$W52,$C52,0),IF($D52="Per half jaar",IF(MOD(1-$W52,6)=0,$C52,0),IF($D52="Per kwartaal",IF(MOD(1-$W52,3)=0,$C52,0),$F52))))))</f>
        <v/>
      </c>
      <c r="L52" s="107" t="str">
        <f aca="false">IF($C52="","",IF(Dashboard!$C$4="Gemiddeld per maand",$F52,IF(OR($D52="Per maand",$D52="Per week",$D52=""),$F52,IF($D52="Per jaar",IF(2=$W52,$C52,0),IF($D52="Per half jaar",IF(MOD(2-$W52,6)=0,$C52,0),IF($D52="Per kwartaal",IF(MOD(2-$W52,3)=0,$C52,0),$F52))))))</f>
        <v/>
      </c>
      <c r="M52" s="107" t="str">
        <f aca="false">IF($C52="","",IF(Dashboard!$C$4="Gemiddeld per maand",$F52,IF(OR($D52="Per maand",$D52="Per week",$D52=""),$F52,IF($D52="Per jaar",IF(3=$W52,$C52,0),IF($D52="Per half jaar",IF(MOD(3-$W52,6)=0,$C52,0),IF($D52="Per kwartaal",IF(MOD(3-$W52,3)=0,$C52,0),$F52))))))</f>
        <v/>
      </c>
      <c r="N52" s="107" t="str">
        <f aca="false">IF($C52="","",IF(Dashboard!$C$4="Gemiddeld per maand",$F52,IF(OR($D52="Per maand",$D52="Per week",$D52=""),$F52,IF($D52="Per jaar",IF(4=$W52,$C52,0),IF($D52="Per half jaar",IF(MOD(4-$W52,6)=0,$C52,0),IF($D52="Per kwartaal",IF(MOD(4-$W52,3)=0,$C52,0),$F52))))))</f>
        <v/>
      </c>
      <c r="O52" s="107" t="str">
        <f aca="false">IF($C52="","",IF(Dashboard!$C$4="Gemiddeld per maand",$F52,IF(OR($D52="Per maand",$D52="Per week",$D52=""),$F52,IF($D52="Per jaar",IF(5=$W52,$C52,0),IF($D52="Per half jaar",IF(MOD(5-$W52,6)=0,$C52,0),IF($D52="Per kwartaal",IF(MOD(5-$W52,3)=0,$C52,0),$F52))))))</f>
        <v/>
      </c>
      <c r="P52" s="107" t="str">
        <f aca="false">IF($C52="","",IF(Dashboard!$C$4="Gemiddeld per maand",$F52,IF(OR($D52="Per maand",$D52="Per week",$D52=""),$F52,IF($D52="Per jaar",IF(6=$W52,$C52,0),IF($D52="Per half jaar",IF(MOD(6-$W52,6)=0,$C52,0),IF($D52="Per kwartaal",IF(MOD(6-$W52,3)=0,$C52,0),$F52))))))</f>
        <v/>
      </c>
      <c r="Q52" s="107" t="str">
        <f aca="false">IF($C52="","",IF(Dashboard!$C$4="Gemiddeld per maand",$F52,IF(OR($D52="Per maand",$D52="Per week",$D52=""),$F52,IF($D52="Per jaar",IF(7=$W52,$C52,0),IF($D52="Per half jaar",IF(MOD(7-$W52,6)=0,$C52,0),IF($D52="Per kwartaal",IF(MOD(7-$W52,3)=0,$C52,0),$F52))))))</f>
        <v/>
      </c>
      <c r="R52" s="107" t="str">
        <f aca="false">IF($C52="","",IF(Dashboard!$C$4="Gemiddeld per maand",$F52,IF(OR($D52="Per maand",$D52="Per week",$D52=""),$F52,IF($D52="Per jaar",IF(8=$W52,$C52,0),IF($D52="Per half jaar",IF(MOD(8-$W52,6)=0,$C52,0),IF($D52="Per kwartaal",IF(MOD(8-$W52,3)=0,$C52,0),$F52))))))</f>
        <v/>
      </c>
      <c r="S52" s="107" t="str">
        <f aca="false">IF($C52="","",IF(Dashboard!$C$4="Gemiddeld per maand",$F52,IF(OR($D52="Per maand",$D52="Per week",$D52=""),$F52,IF($D52="Per jaar",IF(9=$W52,$C52,0),IF($D52="Per half jaar",IF(MOD(9-$W52,6)=0,$C52,0),IF($D52="Per kwartaal",IF(MOD(9-$W52,3)=0,$C52,0),$F52))))))</f>
        <v/>
      </c>
      <c r="T52" s="107" t="str">
        <f aca="false">IF($C52="","",IF(Dashboard!$C$4="Gemiddeld per maand",$F52,IF(OR($D52="Per maand",$D52="Per week",$D52=""),$F52,IF($D52="Per jaar",IF(10=$W52,$C52,0),IF($D52="Per half jaar",IF(MOD(10-$W52,6)=0,$C52,0),IF($D52="Per kwartaal",IF(MOD(10-$W52,3)=0,$C52,0),$F52))))))</f>
        <v/>
      </c>
      <c r="U52" s="107" t="str">
        <f aca="false">IF($C52="","",IF(Dashboard!$C$4="Gemiddeld per maand",$F52,IF(OR($D52="Per maand",$D52="Per week",$D52=""),$F52,IF($D52="Per jaar",IF(11=$W52,$C52,0),IF($D52="Per half jaar",IF(MOD(11-$W52,6)=0,$C52,0),IF($D52="Per kwartaal",IF(MOD(11-$W52,3)=0,$C52,0),$F52))))))</f>
        <v/>
      </c>
      <c r="V52" s="107" t="str">
        <f aca="false">IF($C52="","",IF(Dashboard!$C$4="Gemiddeld per maand",$F52,IF(OR($D52="Per maand",$D52="Per week",$D52=""),$F52,IF($D52="Per jaar",IF(12=$W52,$C52,0),IF($D52="Per half jaar",IF(MOD(12-$W52,6)=0,$C52,0),IF($D52="Per kwartaal",IF(MOD(12-$W52,3)=0,$C52,0),$F52))))))</f>
        <v/>
      </c>
      <c r="W52" s="15" t="n">
        <f aca="false">IF($E52="",1,IFERROR(MATCH($E52,Lijsten!$K$6:$K$17,0),1))</f>
        <v>1</v>
      </c>
    </row>
    <row r="53" customFormat="false" ht="15" hidden="false" customHeight="false" outlineLevel="0" collapsed="false">
      <c r="A53" s="102"/>
      <c r="B53" s="102"/>
      <c r="C53" s="92"/>
      <c r="D53" s="102"/>
      <c r="E53" s="103"/>
      <c r="F53" s="104" t="str">
        <f aca="false">IF($C53="","",IF($D53="Per jaar",$C53/12,IF($D53="Per kwartaal",$C53/3,IF($D53="Per half jaar",$C53/6,IF($D53="Per week",$C53*52/12,$C53)))))</f>
        <v/>
      </c>
      <c r="G53" s="102"/>
      <c r="H53" s="103"/>
      <c r="I53" s="105"/>
      <c r="J53" s="106" t="str">
        <f aca="false">IF($C53="","",IF(Dashboard!$C$4="Gemiddeld per maand",$F53,IF(OR($D53="Per maand",$D53="Per week",$D53=""),$F53,IF($D53="Per jaar",IF(Dashboard!$N$2=$W53,$C53,0),IF($D53="Per half jaar",IF(MOD(Dashboard!$N$2-$W53,6)=0,$C53,0),IF($D53="Per kwartaal",IF(MOD(Dashboard!$N$2-$W53,3)=0,$C53,0),$F53))))))</f>
        <v/>
      </c>
      <c r="K53" s="107" t="str">
        <f aca="false">IF($C53="","",IF(Dashboard!$C$4="Gemiddeld per maand",$F53,IF(OR($D53="Per maand",$D53="Per week",$D53=""),$F53,IF($D53="Per jaar",IF(1=$W53,$C53,0),IF($D53="Per half jaar",IF(MOD(1-$W53,6)=0,$C53,0),IF($D53="Per kwartaal",IF(MOD(1-$W53,3)=0,$C53,0),$F53))))))</f>
        <v/>
      </c>
      <c r="L53" s="107" t="str">
        <f aca="false">IF($C53="","",IF(Dashboard!$C$4="Gemiddeld per maand",$F53,IF(OR($D53="Per maand",$D53="Per week",$D53=""),$F53,IF($D53="Per jaar",IF(2=$W53,$C53,0),IF($D53="Per half jaar",IF(MOD(2-$W53,6)=0,$C53,0),IF($D53="Per kwartaal",IF(MOD(2-$W53,3)=0,$C53,0),$F53))))))</f>
        <v/>
      </c>
      <c r="M53" s="107" t="str">
        <f aca="false">IF($C53="","",IF(Dashboard!$C$4="Gemiddeld per maand",$F53,IF(OR($D53="Per maand",$D53="Per week",$D53=""),$F53,IF($D53="Per jaar",IF(3=$W53,$C53,0),IF($D53="Per half jaar",IF(MOD(3-$W53,6)=0,$C53,0),IF($D53="Per kwartaal",IF(MOD(3-$W53,3)=0,$C53,0),$F53))))))</f>
        <v/>
      </c>
      <c r="N53" s="107" t="str">
        <f aca="false">IF($C53="","",IF(Dashboard!$C$4="Gemiddeld per maand",$F53,IF(OR($D53="Per maand",$D53="Per week",$D53=""),$F53,IF($D53="Per jaar",IF(4=$W53,$C53,0),IF($D53="Per half jaar",IF(MOD(4-$W53,6)=0,$C53,0),IF($D53="Per kwartaal",IF(MOD(4-$W53,3)=0,$C53,0),$F53))))))</f>
        <v/>
      </c>
      <c r="O53" s="107" t="str">
        <f aca="false">IF($C53="","",IF(Dashboard!$C$4="Gemiddeld per maand",$F53,IF(OR($D53="Per maand",$D53="Per week",$D53=""),$F53,IF($D53="Per jaar",IF(5=$W53,$C53,0),IF($D53="Per half jaar",IF(MOD(5-$W53,6)=0,$C53,0),IF($D53="Per kwartaal",IF(MOD(5-$W53,3)=0,$C53,0),$F53))))))</f>
        <v/>
      </c>
      <c r="P53" s="107" t="str">
        <f aca="false">IF($C53="","",IF(Dashboard!$C$4="Gemiddeld per maand",$F53,IF(OR($D53="Per maand",$D53="Per week",$D53=""),$F53,IF($D53="Per jaar",IF(6=$W53,$C53,0),IF($D53="Per half jaar",IF(MOD(6-$W53,6)=0,$C53,0),IF($D53="Per kwartaal",IF(MOD(6-$W53,3)=0,$C53,0),$F53))))))</f>
        <v/>
      </c>
      <c r="Q53" s="107" t="str">
        <f aca="false">IF($C53="","",IF(Dashboard!$C$4="Gemiddeld per maand",$F53,IF(OR($D53="Per maand",$D53="Per week",$D53=""),$F53,IF($D53="Per jaar",IF(7=$W53,$C53,0),IF($D53="Per half jaar",IF(MOD(7-$W53,6)=0,$C53,0),IF($D53="Per kwartaal",IF(MOD(7-$W53,3)=0,$C53,0),$F53))))))</f>
        <v/>
      </c>
      <c r="R53" s="107" t="str">
        <f aca="false">IF($C53="","",IF(Dashboard!$C$4="Gemiddeld per maand",$F53,IF(OR($D53="Per maand",$D53="Per week",$D53=""),$F53,IF($D53="Per jaar",IF(8=$W53,$C53,0),IF($D53="Per half jaar",IF(MOD(8-$W53,6)=0,$C53,0),IF($D53="Per kwartaal",IF(MOD(8-$W53,3)=0,$C53,0),$F53))))))</f>
        <v/>
      </c>
      <c r="S53" s="107" t="str">
        <f aca="false">IF($C53="","",IF(Dashboard!$C$4="Gemiddeld per maand",$F53,IF(OR($D53="Per maand",$D53="Per week",$D53=""),$F53,IF($D53="Per jaar",IF(9=$W53,$C53,0),IF($D53="Per half jaar",IF(MOD(9-$W53,6)=0,$C53,0),IF($D53="Per kwartaal",IF(MOD(9-$W53,3)=0,$C53,0),$F53))))))</f>
        <v/>
      </c>
      <c r="T53" s="107" t="str">
        <f aca="false">IF($C53="","",IF(Dashboard!$C$4="Gemiddeld per maand",$F53,IF(OR($D53="Per maand",$D53="Per week",$D53=""),$F53,IF($D53="Per jaar",IF(10=$W53,$C53,0),IF($D53="Per half jaar",IF(MOD(10-$W53,6)=0,$C53,0),IF($D53="Per kwartaal",IF(MOD(10-$W53,3)=0,$C53,0),$F53))))))</f>
        <v/>
      </c>
      <c r="U53" s="107" t="str">
        <f aca="false">IF($C53="","",IF(Dashboard!$C$4="Gemiddeld per maand",$F53,IF(OR($D53="Per maand",$D53="Per week",$D53=""),$F53,IF($D53="Per jaar",IF(11=$W53,$C53,0),IF($D53="Per half jaar",IF(MOD(11-$W53,6)=0,$C53,0),IF($D53="Per kwartaal",IF(MOD(11-$W53,3)=0,$C53,0),$F53))))))</f>
        <v/>
      </c>
      <c r="V53" s="107" t="str">
        <f aca="false">IF($C53="","",IF(Dashboard!$C$4="Gemiddeld per maand",$F53,IF(OR($D53="Per maand",$D53="Per week",$D53=""),$F53,IF($D53="Per jaar",IF(12=$W53,$C53,0),IF($D53="Per half jaar",IF(MOD(12-$W53,6)=0,$C53,0),IF($D53="Per kwartaal",IF(MOD(12-$W53,3)=0,$C53,0),$F53))))))</f>
        <v/>
      </c>
      <c r="W53" s="15" t="n">
        <f aca="false">IF($E53="",1,IFERROR(MATCH($E53,Lijsten!$K$6:$K$17,0),1))</f>
        <v>1</v>
      </c>
    </row>
    <row r="54" customFormat="false" ht="15" hidden="false" customHeight="false" outlineLevel="0" collapsed="false">
      <c r="A54" s="102"/>
      <c r="B54" s="102"/>
      <c r="C54" s="92"/>
      <c r="D54" s="102"/>
      <c r="E54" s="103"/>
      <c r="F54" s="104" t="str">
        <f aca="false">IF($C54="","",IF($D54="Per jaar",$C54/12,IF($D54="Per kwartaal",$C54/3,IF($D54="Per half jaar",$C54/6,IF($D54="Per week",$C54*52/12,$C54)))))</f>
        <v/>
      </c>
      <c r="G54" s="102"/>
      <c r="H54" s="103"/>
      <c r="I54" s="105"/>
      <c r="J54" s="106" t="str">
        <f aca="false">IF($C54="","",IF(Dashboard!$C$4="Gemiddeld per maand",$F54,IF(OR($D54="Per maand",$D54="Per week",$D54=""),$F54,IF($D54="Per jaar",IF(Dashboard!$N$2=$W54,$C54,0),IF($D54="Per half jaar",IF(MOD(Dashboard!$N$2-$W54,6)=0,$C54,0),IF($D54="Per kwartaal",IF(MOD(Dashboard!$N$2-$W54,3)=0,$C54,0),$F54))))))</f>
        <v/>
      </c>
      <c r="K54" s="107" t="str">
        <f aca="false">IF($C54="","",IF(Dashboard!$C$4="Gemiddeld per maand",$F54,IF(OR($D54="Per maand",$D54="Per week",$D54=""),$F54,IF($D54="Per jaar",IF(1=$W54,$C54,0),IF($D54="Per half jaar",IF(MOD(1-$W54,6)=0,$C54,0),IF($D54="Per kwartaal",IF(MOD(1-$W54,3)=0,$C54,0),$F54))))))</f>
        <v/>
      </c>
      <c r="L54" s="107" t="str">
        <f aca="false">IF($C54="","",IF(Dashboard!$C$4="Gemiddeld per maand",$F54,IF(OR($D54="Per maand",$D54="Per week",$D54=""),$F54,IF($D54="Per jaar",IF(2=$W54,$C54,0),IF($D54="Per half jaar",IF(MOD(2-$W54,6)=0,$C54,0),IF($D54="Per kwartaal",IF(MOD(2-$W54,3)=0,$C54,0),$F54))))))</f>
        <v/>
      </c>
      <c r="M54" s="107" t="str">
        <f aca="false">IF($C54="","",IF(Dashboard!$C$4="Gemiddeld per maand",$F54,IF(OR($D54="Per maand",$D54="Per week",$D54=""),$F54,IF($D54="Per jaar",IF(3=$W54,$C54,0),IF($D54="Per half jaar",IF(MOD(3-$W54,6)=0,$C54,0),IF($D54="Per kwartaal",IF(MOD(3-$W54,3)=0,$C54,0),$F54))))))</f>
        <v/>
      </c>
      <c r="N54" s="107" t="str">
        <f aca="false">IF($C54="","",IF(Dashboard!$C$4="Gemiddeld per maand",$F54,IF(OR($D54="Per maand",$D54="Per week",$D54=""),$F54,IF($D54="Per jaar",IF(4=$W54,$C54,0),IF($D54="Per half jaar",IF(MOD(4-$W54,6)=0,$C54,0),IF($D54="Per kwartaal",IF(MOD(4-$W54,3)=0,$C54,0),$F54))))))</f>
        <v/>
      </c>
      <c r="O54" s="107" t="str">
        <f aca="false">IF($C54="","",IF(Dashboard!$C$4="Gemiddeld per maand",$F54,IF(OR($D54="Per maand",$D54="Per week",$D54=""),$F54,IF($D54="Per jaar",IF(5=$W54,$C54,0),IF($D54="Per half jaar",IF(MOD(5-$W54,6)=0,$C54,0),IF($D54="Per kwartaal",IF(MOD(5-$W54,3)=0,$C54,0),$F54))))))</f>
        <v/>
      </c>
      <c r="P54" s="107" t="str">
        <f aca="false">IF($C54="","",IF(Dashboard!$C$4="Gemiddeld per maand",$F54,IF(OR($D54="Per maand",$D54="Per week",$D54=""),$F54,IF($D54="Per jaar",IF(6=$W54,$C54,0),IF($D54="Per half jaar",IF(MOD(6-$W54,6)=0,$C54,0),IF($D54="Per kwartaal",IF(MOD(6-$W54,3)=0,$C54,0),$F54))))))</f>
        <v/>
      </c>
      <c r="Q54" s="107" t="str">
        <f aca="false">IF($C54="","",IF(Dashboard!$C$4="Gemiddeld per maand",$F54,IF(OR($D54="Per maand",$D54="Per week",$D54=""),$F54,IF($D54="Per jaar",IF(7=$W54,$C54,0),IF($D54="Per half jaar",IF(MOD(7-$W54,6)=0,$C54,0),IF($D54="Per kwartaal",IF(MOD(7-$W54,3)=0,$C54,0),$F54))))))</f>
        <v/>
      </c>
      <c r="R54" s="107" t="str">
        <f aca="false">IF($C54="","",IF(Dashboard!$C$4="Gemiddeld per maand",$F54,IF(OR($D54="Per maand",$D54="Per week",$D54=""),$F54,IF($D54="Per jaar",IF(8=$W54,$C54,0),IF($D54="Per half jaar",IF(MOD(8-$W54,6)=0,$C54,0),IF($D54="Per kwartaal",IF(MOD(8-$W54,3)=0,$C54,0),$F54))))))</f>
        <v/>
      </c>
      <c r="S54" s="107" t="str">
        <f aca="false">IF($C54="","",IF(Dashboard!$C$4="Gemiddeld per maand",$F54,IF(OR($D54="Per maand",$D54="Per week",$D54=""),$F54,IF($D54="Per jaar",IF(9=$W54,$C54,0),IF($D54="Per half jaar",IF(MOD(9-$W54,6)=0,$C54,0),IF($D54="Per kwartaal",IF(MOD(9-$W54,3)=0,$C54,0),$F54))))))</f>
        <v/>
      </c>
      <c r="T54" s="107" t="str">
        <f aca="false">IF($C54="","",IF(Dashboard!$C$4="Gemiddeld per maand",$F54,IF(OR($D54="Per maand",$D54="Per week",$D54=""),$F54,IF($D54="Per jaar",IF(10=$W54,$C54,0),IF($D54="Per half jaar",IF(MOD(10-$W54,6)=0,$C54,0),IF($D54="Per kwartaal",IF(MOD(10-$W54,3)=0,$C54,0),$F54))))))</f>
        <v/>
      </c>
      <c r="U54" s="107" t="str">
        <f aca="false">IF($C54="","",IF(Dashboard!$C$4="Gemiddeld per maand",$F54,IF(OR($D54="Per maand",$D54="Per week",$D54=""),$F54,IF($D54="Per jaar",IF(11=$W54,$C54,0),IF($D54="Per half jaar",IF(MOD(11-$W54,6)=0,$C54,0),IF($D54="Per kwartaal",IF(MOD(11-$W54,3)=0,$C54,0),$F54))))))</f>
        <v/>
      </c>
      <c r="V54" s="107" t="str">
        <f aca="false">IF($C54="","",IF(Dashboard!$C$4="Gemiddeld per maand",$F54,IF(OR($D54="Per maand",$D54="Per week",$D54=""),$F54,IF($D54="Per jaar",IF(12=$W54,$C54,0),IF($D54="Per half jaar",IF(MOD(12-$W54,6)=0,$C54,0),IF($D54="Per kwartaal",IF(MOD(12-$W54,3)=0,$C54,0),$F54))))))</f>
        <v/>
      </c>
      <c r="W54" s="15" t="n">
        <f aca="false">IF($E54="",1,IFERROR(MATCH($E54,Lijsten!$K$6:$K$17,0),1))</f>
        <v>1</v>
      </c>
    </row>
    <row r="55" customFormat="false" ht="15" hidden="false" customHeight="false" outlineLevel="0" collapsed="false">
      <c r="A55" s="102"/>
      <c r="B55" s="102"/>
      <c r="C55" s="92"/>
      <c r="D55" s="102"/>
      <c r="E55" s="103"/>
      <c r="F55" s="104" t="str">
        <f aca="false">IF($C55="","",IF($D55="Per jaar",$C55/12,IF($D55="Per kwartaal",$C55/3,IF($D55="Per half jaar",$C55/6,IF($D55="Per week",$C55*52/12,$C55)))))</f>
        <v/>
      </c>
      <c r="G55" s="102"/>
      <c r="H55" s="103"/>
      <c r="I55" s="105"/>
      <c r="J55" s="106" t="str">
        <f aca="false">IF($C55="","",IF(Dashboard!$C$4="Gemiddeld per maand",$F55,IF(OR($D55="Per maand",$D55="Per week",$D55=""),$F55,IF($D55="Per jaar",IF(Dashboard!$N$2=$W55,$C55,0),IF($D55="Per half jaar",IF(MOD(Dashboard!$N$2-$W55,6)=0,$C55,0),IF($D55="Per kwartaal",IF(MOD(Dashboard!$N$2-$W55,3)=0,$C55,0),$F55))))))</f>
        <v/>
      </c>
      <c r="K55" s="107" t="str">
        <f aca="false">IF($C55="","",IF(Dashboard!$C$4="Gemiddeld per maand",$F55,IF(OR($D55="Per maand",$D55="Per week",$D55=""),$F55,IF($D55="Per jaar",IF(1=$W55,$C55,0),IF($D55="Per half jaar",IF(MOD(1-$W55,6)=0,$C55,0),IF($D55="Per kwartaal",IF(MOD(1-$W55,3)=0,$C55,0),$F55))))))</f>
        <v/>
      </c>
      <c r="L55" s="107" t="str">
        <f aca="false">IF($C55="","",IF(Dashboard!$C$4="Gemiddeld per maand",$F55,IF(OR($D55="Per maand",$D55="Per week",$D55=""),$F55,IF($D55="Per jaar",IF(2=$W55,$C55,0),IF($D55="Per half jaar",IF(MOD(2-$W55,6)=0,$C55,0),IF($D55="Per kwartaal",IF(MOD(2-$W55,3)=0,$C55,0),$F55))))))</f>
        <v/>
      </c>
      <c r="M55" s="107" t="str">
        <f aca="false">IF($C55="","",IF(Dashboard!$C$4="Gemiddeld per maand",$F55,IF(OR($D55="Per maand",$D55="Per week",$D55=""),$F55,IF($D55="Per jaar",IF(3=$W55,$C55,0),IF($D55="Per half jaar",IF(MOD(3-$W55,6)=0,$C55,0),IF($D55="Per kwartaal",IF(MOD(3-$W55,3)=0,$C55,0),$F55))))))</f>
        <v/>
      </c>
      <c r="N55" s="107" t="str">
        <f aca="false">IF($C55="","",IF(Dashboard!$C$4="Gemiddeld per maand",$F55,IF(OR($D55="Per maand",$D55="Per week",$D55=""),$F55,IF($D55="Per jaar",IF(4=$W55,$C55,0),IF($D55="Per half jaar",IF(MOD(4-$W55,6)=0,$C55,0),IF($D55="Per kwartaal",IF(MOD(4-$W55,3)=0,$C55,0),$F55))))))</f>
        <v/>
      </c>
      <c r="O55" s="107" t="str">
        <f aca="false">IF($C55="","",IF(Dashboard!$C$4="Gemiddeld per maand",$F55,IF(OR($D55="Per maand",$D55="Per week",$D55=""),$F55,IF($D55="Per jaar",IF(5=$W55,$C55,0),IF($D55="Per half jaar",IF(MOD(5-$W55,6)=0,$C55,0),IF($D55="Per kwartaal",IF(MOD(5-$W55,3)=0,$C55,0),$F55))))))</f>
        <v/>
      </c>
      <c r="P55" s="107" t="str">
        <f aca="false">IF($C55="","",IF(Dashboard!$C$4="Gemiddeld per maand",$F55,IF(OR($D55="Per maand",$D55="Per week",$D55=""),$F55,IF($D55="Per jaar",IF(6=$W55,$C55,0),IF($D55="Per half jaar",IF(MOD(6-$W55,6)=0,$C55,0),IF($D55="Per kwartaal",IF(MOD(6-$W55,3)=0,$C55,0),$F55))))))</f>
        <v/>
      </c>
      <c r="Q55" s="107" t="str">
        <f aca="false">IF($C55="","",IF(Dashboard!$C$4="Gemiddeld per maand",$F55,IF(OR($D55="Per maand",$D55="Per week",$D55=""),$F55,IF($D55="Per jaar",IF(7=$W55,$C55,0),IF($D55="Per half jaar",IF(MOD(7-$W55,6)=0,$C55,0),IF($D55="Per kwartaal",IF(MOD(7-$W55,3)=0,$C55,0),$F55))))))</f>
        <v/>
      </c>
      <c r="R55" s="107" t="str">
        <f aca="false">IF($C55="","",IF(Dashboard!$C$4="Gemiddeld per maand",$F55,IF(OR($D55="Per maand",$D55="Per week",$D55=""),$F55,IF($D55="Per jaar",IF(8=$W55,$C55,0),IF($D55="Per half jaar",IF(MOD(8-$W55,6)=0,$C55,0),IF($D55="Per kwartaal",IF(MOD(8-$W55,3)=0,$C55,0),$F55))))))</f>
        <v/>
      </c>
      <c r="S55" s="107" t="str">
        <f aca="false">IF($C55="","",IF(Dashboard!$C$4="Gemiddeld per maand",$F55,IF(OR($D55="Per maand",$D55="Per week",$D55=""),$F55,IF($D55="Per jaar",IF(9=$W55,$C55,0),IF($D55="Per half jaar",IF(MOD(9-$W55,6)=0,$C55,0),IF($D55="Per kwartaal",IF(MOD(9-$W55,3)=0,$C55,0),$F55))))))</f>
        <v/>
      </c>
      <c r="T55" s="107" t="str">
        <f aca="false">IF($C55="","",IF(Dashboard!$C$4="Gemiddeld per maand",$F55,IF(OR($D55="Per maand",$D55="Per week",$D55=""),$F55,IF($D55="Per jaar",IF(10=$W55,$C55,0),IF($D55="Per half jaar",IF(MOD(10-$W55,6)=0,$C55,0),IF($D55="Per kwartaal",IF(MOD(10-$W55,3)=0,$C55,0),$F55))))))</f>
        <v/>
      </c>
      <c r="U55" s="107" t="str">
        <f aca="false">IF($C55="","",IF(Dashboard!$C$4="Gemiddeld per maand",$F55,IF(OR($D55="Per maand",$D55="Per week",$D55=""),$F55,IF($D55="Per jaar",IF(11=$W55,$C55,0),IF($D55="Per half jaar",IF(MOD(11-$W55,6)=0,$C55,0),IF($D55="Per kwartaal",IF(MOD(11-$W55,3)=0,$C55,0),$F55))))))</f>
        <v/>
      </c>
      <c r="V55" s="107" t="str">
        <f aca="false">IF($C55="","",IF(Dashboard!$C$4="Gemiddeld per maand",$F55,IF(OR($D55="Per maand",$D55="Per week",$D55=""),$F55,IF($D55="Per jaar",IF(12=$W55,$C55,0),IF($D55="Per half jaar",IF(MOD(12-$W55,6)=0,$C55,0),IF($D55="Per kwartaal",IF(MOD(12-$W55,3)=0,$C55,0),$F55))))))</f>
        <v/>
      </c>
      <c r="W55" s="15" t="n">
        <f aca="false">IF($E55="",1,IFERROR(MATCH($E55,Lijsten!$K$6:$K$17,0),1))</f>
        <v>1</v>
      </c>
    </row>
    <row r="56" customFormat="false" ht="15" hidden="false" customHeight="false" outlineLevel="0" collapsed="false">
      <c r="A56" s="102"/>
      <c r="B56" s="102"/>
      <c r="C56" s="92"/>
      <c r="D56" s="102"/>
      <c r="E56" s="103"/>
      <c r="F56" s="104" t="str">
        <f aca="false">IF($C56="","",IF($D56="Per jaar",$C56/12,IF($D56="Per kwartaal",$C56/3,IF($D56="Per half jaar",$C56/6,IF($D56="Per week",$C56*52/12,$C56)))))</f>
        <v/>
      </c>
      <c r="G56" s="102"/>
      <c r="H56" s="103"/>
      <c r="I56" s="105"/>
      <c r="J56" s="106" t="str">
        <f aca="false">IF($C56="","",IF(Dashboard!$C$4="Gemiddeld per maand",$F56,IF(OR($D56="Per maand",$D56="Per week",$D56=""),$F56,IF($D56="Per jaar",IF(Dashboard!$N$2=$W56,$C56,0),IF($D56="Per half jaar",IF(MOD(Dashboard!$N$2-$W56,6)=0,$C56,0),IF($D56="Per kwartaal",IF(MOD(Dashboard!$N$2-$W56,3)=0,$C56,0),$F56))))))</f>
        <v/>
      </c>
      <c r="K56" s="107" t="str">
        <f aca="false">IF($C56="","",IF(Dashboard!$C$4="Gemiddeld per maand",$F56,IF(OR($D56="Per maand",$D56="Per week",$D56=""),$F56,IF($D56="Per jaar",IF(1=$W56,$C56,0),IF($D56="Per half jaar",IF(MOD(1-$W56,6)=0,$C56,0),IF($D56="Per kwartaal",IF(MOD(1-$W56,3)=0,$C56,0),$F56))))))</f>
        <v/>
      </c>
      <c r="L56" s="107" t="str">
        <f aca="false">IF($C56="","",IF(Dashboard!$C$4="Gemiddeld per maand",$F56,IF(OR($D56="Per maand",$D56="Per week",$D56=""),$F56,IF($D56="Per jaar",IF(2=$W56,$C56,0),IF($D56="Per half jaar",IF(MOD(2-$W56,6)=0,$C56,0),IF($D56="Per kwartaal",IF(MOD(2-$W56,3)=0,$C56,0),$F56))))))</f>
        <v/>
      </c>
      <c r="M56" s="107" t="str">
        <f aca="false">IF($C56="","",IF(Dashboard!$C$4="Gemiddeld per maand",$F56,IF(OR($D56="Per maand",$D56="Per week",$D56=""),$F56,IF($D56="Per jaar",IF(3=$W56,$C56,0),IF($D56="Per half jaar",IF(MOD(3-$W56,6)=0,$C56,0),IF($D56="Per kwartaal",IF(MOD(3-$W56,3)=0,$C56,0),$F56))))))</f>
        <v/>
      </c>
      <c r="N56" s="107" t="str">
        <f aca="false">IF($C56="","",IF(Dashboard!$C$4="Gemiddeld per maand",$F56,IF(OR($D56="Per maand",$D56="Per week",$D56=""),$F56,IF($D56="Per jaar",IF(4=$W56,$C56,0),IF($D56="Per half jaar",IF(MOD(4-$W56,6)=0,$C56,0),IF($D56="Per kwartaal",IF(MOD(4-$W56,3)=0,$C56,0),$F56))))))</f>
        <v/>
      </c>
      <c r="O56" s="107" t="str">
        <f aca="false">IF($C56="","",IF(Dashboard!$C$4="Gemiddeld per maand",$F56,IF(OR($D56="Per maand",$D56="Per week",$D56=""),$F56,IF($D56="Per jaar",IF(5=$W56,$C56,0),IF($D56="Per half jaar",IF(MOD(5-$W56,6)=0,$C56,0),IF($D56="Per kwartaal",IF(MOD(5-$W56,3)=0,$C56,0),$F56))))))</f>
        <v/>
      </c>
      <c r="P56" s="107" t="str">
        <f aca="false">IF($C56="","",IF(Dashboard!$C$4="Gemiddeld per maand",$F56,IF(OR($D56="Per maand",$D56="Per week",$D56=""),$F56,IF($D56="Per jaar",IF(6=$W56,$C56,0),IF($D56="Per half jaar",IF(MOD(6-$W56,6)=0,$C56,0),IF($D56="Per kwartaal",IF(MOD(6-$W56,3)=0,$C56,0),$F56))))))</f>
        <v/>
      </c>
      <c r="Q56" s="107" t="str">
        <f aca="false">IF($C56="","",IF(Dashboard!$C$4="Gemiddeld per maand",$F56,IF(OR($D56="Per maand",$D56="Per week",$D56=""),$F56,IF($D56="Per jaar",IF(7=$W56,$C56,0),IF($D56="Per half jaar",IF(MOD(7-$W56,6)=0,$C56,0),IF($D56="Per kwartaal",IF(MOD(7-$W56,3)=0,$C56,0),$F56))))))</f>
        <v/>
      </c>
      <c r="R56" s="107" t="str">
        <f aca="false">IF($C56="","",IF(Dashboard!$C$4="Gemiddeld per maand",$F56,IF(OR($D56="Per maand",$D56="Per week",$D56=""),$F56,IF($D56="Per jaar",IF(8=$W56,$C56,0),IF($D56="Per half jaar",IF(MOD(8-$W56,6)=0,$C56,0),IF($D56="Per kwartaal",IF(MOD(8-$W56,3)=0,$C56,0),$F56))))))</f>
        <v/>
      </c>
      <c r="S56" s="107" t="str">
        <f aca="false">IF($C56="","",IF(Dashboard!$C$4="Gemiddeld per maand",$F56,IF(OR($D56="Per maand",$D56="Per week",$D56=""),$F56,IF($D56="Per jaar",IF(9=$W56,$C56,0),IF($D56="Per half jaar",IF(MOD(9-$W56,6)=0,$C56,0),IF($D56="Per kwartaal",IF(MOD(9-$W56,3)=0,$C56,0),$F56))))))</f>
        <v/>
      </c>
      <c r="T56" s="107" t="str">
        <f aca="false">IF($C56="","",IF(Dashboard!$C$4="Gemiddeld per maand",$F56,IF(OR($D56="Per maand",$D56="Per week",$D56=""),$F56,IF($D56="Per jaar",IF(10=$W56,$C56,0),IF($D56="Per half jaar",IF(MOD(10-$W56,6)=0,$C56,0),IF($D56="Per kwartaal",IF(MOD(10-$W56,3)=0,$C56,0),$F56))))))</f>
        <v/>
      </c>
      <c r="U56" s="107" t="str">
        <f aca="false">IF($C56="","",IF(Dashboard!$C$4="Gemiddeld per maand",$F56,IF(OR($D56="Per maand",$D56="Per week",$D56=""),$F56,IF($D56="Per jaar",IF(11=$W56,$C56,0),IF($D56="Per half jaar",IF(MOD(11-$W56,6)=0,$C56,0),IF($D56="Per kwartaal",IF(MOD(11-$W56,3)=0,$C56,0),$F56))))))</f>
        <v/>
      </c>
      <c r="V56" s="107" t="str">
        <f aca="false">IF($C56="","",IF(Dashboard!$C$4="Gemiddeld per maand",$F56,IF(OR($D56="Per maand",$D56="Per week",$D56=""),$F56,IF($D56="Per jaar",IF(12=$W56,$C56,0),IF($D56="Per half jaar",IF(MOD(12-$W56,6)=0,$C56,0),IF($D56="Per kwartaal",IF(MOD(12-$W56,3)=0,$C56,0),$F56))))))</f>
        <v/>
      </c>
      <c r="W56" s="15" t="n">
        <f aca="false">IF($E56="",1,IFERROR(MATCH($E56,Lijsten!$K$6:$K$17,0),1))</f>
        <v>1</v>
      </c>
    </row>
    <row r="57" customFormat="false" ht="15" hidden="false" customHeight="false" outlineLevel="0" collapsed="false">
      <c r="A57" s="102"/>
      <c r="B57" s="102"/>
      <c r="C57" s="92"/>
      <c r="D57" s="102"/>
      <c r="E57" s="103"/>
      <c r="F57" s="104" t="str">
        <f aca="false">IF($C57="","",IF($D57="Per jaar",$C57/12,IF($D57="Per kwartaal",$C57/3,IF($D57="Per half jaar",$C57/6,IF($D57="Per week",$C57*52/12,$C57)))))</f>
        <v/>
      </c>
      <c r="G57" s="102"/>
      <c r="H57" s="103"/>
      <c r="I57" s="105"/>
      <c r="J57" s="106" t="str">
        <f aca="false">IF($C57="","",IF(Dashboard!$C$4="Gemiddeld per maand",$F57,IF(OR($D57="Per maand",$D57="Per week",$D57=""),$F57,IF($D57="Per jaar",IF(Dashboard!$N$2=$W57,$C57,0),IF($D57="Per half jaar",IF(MOD(Dashboard!$N$2-$W57,6)=0,$C57,0),IF($D57="Per kwartaal",IF(MOD(Dashboard!$N$2-$W57,3)=0,$C57,0),$F57))))))</f>
        <v/>
      </c>
      <c r="K57" s="107" t="str">
        <f aca="false">IF($C57="","",IF(Dashboard!$C$4="Gemiddeld per maand",$F57,IF(OR($D57="Per maand",$D57="Per week",$D57=""),$F57,IF($D57="Per jaar",IF(1=$W57,$C57,0),IF($D57="Per half jaar",IF(MOD(1-$W57,6)=0,$C57,0),IF($D57="Per kwartaal",IF(MOD(1-$W57,3)=0,$C57,0),$F57))))))</f>
        <v/>
      </c>
      <c r="L57" s="107" t="str">
        <f aca="false">IF($C57="","",IF(Dashboard!$C$4="Gemiddeld per maand",$F57,IF(OR($D57="Per maand",$D57="Per week",$D57=""),$F57,IF($D57="Per jaar",IF(2=$W57,$C57,0),IF($D57="Per half jaar",IF(MOD(2-$W57,6)=0,$C57,0),IF($D57="Per kwartaal",IF(MOD(2-$W57,3)=0,$C57,0),$F57))))))</f>
        <v/>
      </c>
      <c r="M57" s="107" t="str">
        <f aca="false">IF($C57="","",IF(Dashboard!$C$4="Gemiddeld per maand",$F57,IF(OR($D57="Per maand",$D57="Per week",$D57=""),$F57,IF($D57="Per jaar",IF(3=$W57,$C57,0),IF($D57="Per half jaar",IF(MOD(3-$W57,6)=0,$C57,0),IF($D57="Per kwartaal",IF(MOD(3-$W57,3)=0,$C57,0),$F57))))))</f>
        <v/>
      </c>
      <c r="N57" s="107" t="str">
        <f aca="false">IF($C57="","",IF(Dashboard!$C$4="Gemiddeld per maand",$F57,IF(OR($D57="Per maand",$D57="Per week",$D57=""),$F57,IF($D57="Per jaar",IF(4=$W57,$C57,0),IF($D57="Per half jaar",IF(MOD(4-$W57,6)=0,$C57,0),IF($D57="Per kwartaal",IF(MOD(4-$W57,3)=0,$C57,0),$F57))))))</f>
        <v/>
      </c>
      <c r="O57" s="107" t="str">
        <f aca="false">IF($C57="","",IF(Dashboard!$C$4="Gemiddeld per maand",$F57,IF(OR($D57="Per maand",$D57="Per week",$D57=""),$F57,IF($D57="Per jaar",IF(5=$W57,$C57,0),IF($D57="Per half jaar",IF(MOD(5-$W57,6)=0,$C57,0),IF($D57="Per kwartaal",IF(MOD(5-$W57,3)=0,$C57,0),$F57))))))</f>
        <v/>
      </c>
      <c r="P57" s="107" t="str">
        <f aca="false">IF($C57="","",IF(Dashboard!$C$4="Gemiddeld per maand",$F57,IF(OR($D57="Per maand",$D57="Per week",$D57=""),$F57,IF($D57="Per jaar",IF(6=$W57,$C57,0),IF($D57="Per half jaar",IF(MOD(6-$W57,6)=0,$C57,0),IF($D57="Per kwartaal",IF(MOD(6-$W57,3)=0,$C57,0),$F57))))))</f>
        <v/>
      </c>
      <c r="Q57" s="107" t="str">
        <f aca="false">IF($C57="","",IF(Dashboard!$C$4="Gemiddeld per maand",$F57,IF(OR($D57="Per maand",$D57="Per week",$D57=""),$F57,IF($D57="Per jaar",IF(7=$W57,$C57,0),IF($D57="Per half jaar",IF(MOD(7-$W57,6)=0,$C57,0),IF($D57="Per kwartaal",IF(MOD(7-$W57,3)=0,$C57,0),$F57))))))</f>
        <v/>
      </c>
      <c r="R57" s="107" t="str">
        <f aca="false">IF($C57="","",IF(Dashboard!$C$4="Gemiddeld per maand",$F57,IF(OR($D57="Per maand",$D57="Per week",$D57=""),$F57,IF($D57="Per jaar",IF(8=$W57,$C57,0),IF($D57="Per half jaar",IF(MOD(8-$W57,6)=0,$C57,0),IF($D57="Per kwartaal",IF(MOD(8-$W57,3)=0,$C57,0),$F57))))))</f>
        <v/>
      </c>
      <c r="S57" s="107" t="str">
        <f aca="false">IF($C57="","",IF(Dashboard!$C$4="Gemiddeld per maand",$F57,IF(OR($D57="Per maand",$D57="Per week",$D57=""),$F57,IF($D57="Per jaar",IF(9=$W57,$C57,0),IF($D57="Per half jaar",IF(MOD(9-$W57,6)=0,$C57,0),IF($D57="Per kwartaal",IF(MOD(9-$W57,3)=0,$C57,0),$F57))))))</f>
        <v/>
      </c>
      <c r="T57" s="107" t="str">
        <f aca="false">IF($C57="","",IF(Dashboard!$C$4="Gemiddeld per maand",$F57,IF(OR($D57="Per maand",$D57="Per week",$D57=""),$F57,IF($D57="Per jaar",IF(10=$W57,$C57,0),IF($D57="Per half jaar",IF(MOD(10-$W57,6)=0,$C57,0),IF($D57="Per kwartaal",IF(MOD(10-$W57,3)=0,$C57,0),$F57))))))</f>
        <v/>
      </c>
      <c r="U57" s="107" t="str">
        <f aca="false">IF($C57="","",IF(Dashboard!$C$4="Gemiddeld per maand",$F57,IF(OR($D57="Per maand",$D57="Per week",$D57=""),$F57,IF($D57="Per jaar",IF(11=$W57,$C57,0),IF($D57="Per half jaar",IF(MOD(11-$W57,6)=0,$C57,0),IF($D57="Per kwartaal",IF(MOD(11-$W57,3)=0,$C57,0),$F57))))))</f>
        <v/>
      </c>
      <c r="V57" s="107" t="str">
        <f aca="false">IF($C57="","",IF(Dashboard!$C$4="Gemiddeld per maand",$F57,IF(OR($D57="Per maand",$D57="Per week",$D57=""),$F57,IF($D57="Per jaar",IF(12=$W57,$C57,0),IF($D57="Per half jaar",IF(MOD(12-$W57,6)=0,$C57,0),IF($D57="Per kwartaal",IF(MOD(12-$W57,3)=0,$C57,0),$F57))))))</f>
        <v/>
      </c>
      <c r="W57" s="15" t="n">
        <f aca="false">IF($E57="",1,IFERROR(MATCH($E57,Lijsten!$K$6:$K$17,0),1))</f>
        <v>1</v>
      </c>
    </row>
    <row r="58" customFormat="false" ht="15" hidden="false" customHeight="false" outlineLevel="0" collapsed="false">
      <c r="A58" s="102"/>
      <c r="B58" s="102"/>
      <c r="C58" s="92"/>
      <c r="D58" s="102"/>
      <c r="E58" s="103"/>
      <c r="F58" s="104" t="str">
        <f aca="false">IF($C58="","",IF($D58="Per jaar",$C58/12,IF($D58="Per kwartaal",$C58/3,IF($D58="Per half jaar",$C58/6,IF($D58="Per week",$C58*52/12,$C58)))))</f>
        <v/>
      </c>
      <c r="G58" s="102"/>
      <c r="H58" s="103"/>
      <c r="I58" s="105"/>
      <c r="J58" s="106" t="str">
        <f aca="false">IF($C58="","",IF(Dashboard!$C$4="Gemiddeld per maand",$F58,IF(OR($D58="Per maand",$D58="Per week",$D58=""),$F58,IF($D58="Per jaar",IF(Dashboard!$N$2=$W58,$C58,0),IF($D58="Per half jaar",IF(MOD(Dashboard!$N$2-$W58,6)=0,$C58,0),IF($D58="Per kwartaal",IF(MOD(Dashboard!$N$2-$W58,3)=0,$C58,0),$F58))))))</f>
        <v/>
      </c>
      <c r="K58" s="107" t="str">
        <f aca="false">IF($C58="","",IF(Dashboard!$C$4="Gemiddeld per maand",$F58,IF(OR($D58="Per maand",$D58="Per week",$D58=""),$F58,IF($D58="Per jaar",IF(1=$W58,$C58,0),IF($D58="Per half jaar",IF(MOD(1-$W58,6)=0,$C58,0),IF($D58="Per kwartaal",IF(MOD(1-$W58,3)=0,$C58,0),$F58))))))</f>
        <v/>
      </c>
      <c r="L58" s="107" t="str">
        <f aca="false">IF($C58="","",IF(Dashboard!$C$4="Gemiddeld per maand",$F58,IF(OR($D58="Per maand",$D58="Per week",$D58=""),$F58,IF($D58="Per jaar",IF(2=$W58,$C58,0),IF($D58="Per half jaar",IF(MOD(2-$W58,6)=0,$C58,0),IF($D58="Per kwartaal",IF(MOD(2-$W58,3)=0,$C58,0),$F58))))))</f>
        <v/>
      </c>
      <c r="M58" s="107" t="str">
        <f aca="false">IF($C58="","",IF(Dashboard!$C$4="Gemiddeld per maand",$F58,IF(OR($D58="Per maand",$D58="Per week",$D58=""),$F58,IF($D58="Per jaar",IF(3=$W58,$C58,0),IF($D58="Per half jaar",IF(MOD(3-$W58,6)=0,$C58,0),IF($D58="Per kwartaal",IF(MOD(3-$W58,3)=0,$C58,0),$F58))))))</f>
        <v/>
      </c>
      <c r="N58" s="107" t="str">
        <f aca="false">IF($C58="","",IF(Dashboard!$C$4="Gemiddeld per maand",$F58,IF(OR($D58="Per maand",$D58="Per week",$D58=""),$F58,IF($D58="Per jaar",IF(4=$W58,$C58,0),IF($D58="Per half jaar",IF(MOD(4-$W58,6)=0,$C58,0),IF($D58="Per kwartaal",IF(MOD(4-$W58,3)=0,$C58,0),$F58))))))</f>
        <v/>
      </c>
      <c r="O58" s="107" t="str">
        <f aca="false">IF($C58="","",IF(Dashboard!$C$4="Gemiddeld per maand",$F58,IF(OR($D58="Per maand",$D58="Per week",$D58=""),$F58,IF($D58="Per jaar",IF(5=$W58,$C58,0),IF($D58="Per half jaar",IF(MOD(5-$W58,6)=0,$C58,0),IF($D58="Per kwartaal",IF(MOD(5-$W58,3)=0,$C58,0),$F58))))))</f>
        <v/>
      </c>
      <c r="P58" s="107" t="str">
        <f aca="false">IF($C58="","",IF(Dashboard!$C$4="Gemiddeld per maand",$F58,IF(OR($D58="Per maand",$D58="Per week",$D58=""),$F58,IF($D58="Per jaar",IF(6=$W58,$C58,0),IF($D58="Per half jaar",IF(MOD(6-$W58,6)=0,$C58,0),IF($D58="Per kwartaal",IF(MOD(6-$W58,3)=0,$C58,0),$F58))))))</f>
        <v/>
      </c>
      <c r="Q58" s="107" t="str">
        <f aca="false">IF($C58="","",IF(Dashboard!$C$4="Gemiddeld per maand",$F58,IF(OR($D58="Per maand",$D58="Per week",$D58=""),$F58,IF($D58="Per jaar",IF(7=$W58,$C58,0),IF($D58="Per half jaar",IF(MOD(7-$W58,6)=0,$C58,0),IF($D58="Per kwartaal",IF(MOD(7-$W58,3)=0,$C58,0),$F58))))))</f>
        <v/>
      </c>
      <c r="R58" s="107" t="str">
        <f aca="false">IF($C58="","",IF(Dashboard!$C$4="Gemiddeld per maand",$F58,IF(OR($D58="Per maand",$D58="Per week",$D58=""),$F58,IF($D58="Per jaar",IF(8=$W58,$C58,0),IF($D58="Per half jaar",IF(MOD(8-$W58,6)=0,$C58,0),IF($D58="Per kwartaal",IF(MOD(8-$W58,3)=0,$C58,0),$F58))))))</f>
        <v/>
      </c>
      <c r="S58" s="107" t="str">
        <f aca="false">IF($C58="","",IF(Dashboard!$C$4="Gemiddeld per maand",$F58,IF(OR($D58="Per maand",$D58="Per week",$D58=""),$F58,IF($D58="Per jaar",IF(9=$W58,$C58,0),IF($D58="Per half jaar",IF(MOD(9-$W58,6)=0,$C58,0),IF($D58="Per kwartaal",IF(MOD(9-$W58,3)=0,$C58,0),$F58))))))</f>
        <v/>
      </c>
      <c r="T58" s="107" t="str">
        <f aca="false">IF($C58="","",IF(Dashboard!$C$4="Gemiddeld per maand",$F58,IF(OR($D58="Per maand",$D58="Per week",$D58=""),$F58,IF($D58="Per jaar",IF(10=$W58,$C58,0),IF($D58="Per half jaar",IF(MOD(10-$W58,6)=0,$C58,0),IF($D58="Per kwartaal",IF(MOD(10-$W58,3)=0,$C58,0),$F58))))))</f>
        <v/>
      </c>
      <c r="U58" s="107" t="str">
        <f aca="false">IF($C58="","",IF(Dashboard!$C$4="Gemiddeld per maand",$F58,IF(OR($D58="Per maand",$D58="Per week",$D58=""),$F58,IF($D58="Per jaar",IF(11=$W58,$C58,0),IF($D58="Per half jaar",IF(MOD(11-$W58,6)=0,$C58,0),IF($D58="Per kwartaal",IF(MOD(11-$W58,3)=0,$C58,0),$F58))))))</f>
        <v/>
      </c>
      <c r="V58" s="107" t="str">
        <f aca="false">IF($C58="","",IF(Dashboard!$C$4="Gemiddeld per maand",$F58,IF(OR($D58="Per maand",$D58="Per week",$D58=""),$F58,IF($D58="Per jaar",IF(12=$W58,$C58,0),IF($D58="Per half jaar",IF(MOD(12-$W58,6)=0,$C58,0),IF($D58="Per kwartaal",IF(MOD(12-$W58,3)=0,$C58,0),$F58))))))</f>
        <v/>
      </c>
      <c r="W58" s="15" t="n">
        <f aca="false">IF($E58="",1,IFERROR(MATCH($E58,Lijsten!$K$6:$K$17,0),1))</f>
        <v>1</v>
      </c>
    </row>
    <row r="59" customFormat="false" ht="15" hidden="false" customHeight="false" outlineLevel="0" collapsed="false">
      <c r="A59" s="102"/>
      <c r="B59" s="102"/>
      <c r="C59" s="92"/>
      <c r="D59" s="102"/>
      <c r="E59" s="103"/>
      <c r="F59" s="104" t="str">
        <f aca="false">IF($C59="","",IF($D59="Per jaar",$C59/12,IF($D59="Per kwartaal",$C59/3,IF($D59="Per half jaar",$C59/6,IF($D59="Per week",$C59*52/12,$C59)))))</f>
        <v/>
      </c>
      <c r="G59" s="102"/>
      <c r="H59" s="103"/>
      <c r="I59" s="105"/>
      <c r="J59" s="106" t="str">
        <f aca="false">IF($C59="","",IF(Dashboard!$C$4="Gemiddeld per maand",$F59,IF(OR($D59="Per maand",$D59="Per week",$D59=""),$F59,IF($D59="Per jaar",IF(Dashboard!$N$2=$W59,$C59,0),IF($D59="Per half jaar",IF(MOD(Dashboard!$N$2-$W59,6)=0,$C59,0),IF($D59="Per kwartaal",IF(MOD(Dashboard!$N$2-$W59,3)=0,$C59,0),$F59))))))</f>
        <v/>
      </c>
      <c r="K59" s="107" t="str">
        <f aca="false">IF($C59="","",IF(Dashboard!$C$4="Gemiddeld per maand",$F59,IF(OR($D59="Per maand",$D59="Per week",$D59=""),$F59,IF($D59="Per jaar",IF(1=$W59,$C59,0),IF($D59="Per half jaar",IF(MOD(1-$W59,6)=0,$C59,0),IF($D59="Per kwartaal",IF(MOD(1-$W59,3)=0,$C59,0),$F59))))))</f>
        <v/>
      </c>
      <c r="L59" s="107" t="str">
        <f aca="false">IF($C59="","",IF(Dashboard!$C$4="Gemiddeld per maand",$F59,IF(OR($D59="Per maand",$D59="Per week",$D59=""),$F59,IF($D59="Per jaar",IF(2=$W59,$C59,0),IF($D59="Per half jaar",IF(MOD(2-$W59,6)=0,$C59,0),IF($D59="Per kwartaal",IF(MOD(2-$W59,3)=0,$C59,0),$F59))))))</f>
        <v/>
      </c>
      <c r="M59" s="107" t="str">
        <f aca="false">IF($C59="","",IF(Dashboard!$C$4="Gemiddeld per maand",$F59,IF(OR($D59="Per maand",$D59="Per week",$D59=""),$F59,IF($D59="Per jaar",IF(3=$W59,$C59,0),IF($D59="Per half jaar",IF(MOD(3-$W59,6)=0,$C59,0),IF($D59="Per kwartaal",IF(MOD(3-$W59,3)=0,$C59,0),$F59))))))</f>
        <v/>
      </c>
      <c r="N59" s="107" t="str">
        <f aca="false">IF($C59="","",IF(Dashboard!$C$4="Gemiddeld per maand",$F59,IF(OR($D59="Per maand",$D59="Per week",$D59=""),$F59,IF($D59="Per jaar",IF(4=$W59,$C59,0),IF($D59="Per half jaar",IF(MOD(4-$W59,6)=0,$C59,0),IF($D59="Per kwartaal",IF(MOD(4-$W59,3)=0,$C59,0),$F59))))))</f>
        <v/>
      </c>
      <c r="O59" s="107" t="str">
        <f aca="false">IF($C59="","",IF(Dashboard!$C$4="Gemiddeld per maand",$F59,IF(OR($D59="Per maand",$D59="Per week",$D59=""),$F59,IF($D59="Per jaar",IF(5=$W59,$C59,0),IF($D59="Per half jaar",IF(MOD(5-$W59,6)=0,$C59,0),IF($D59="Per kwartaal",IF(MOD(5-$W59,3)=0,$C59,0),$F59))))))</f>
        <v/>
      </c>
      <c r="P59" s="107" t="str">
        <f aca="false">IF($C59="","",IF(Dashboard!$C$4="Gemiddeld per maand",$F59,IF(OR($D59="Per maand",$D59="Per week",$D59=""),$F59,IF($D59="Per jaar",IF(6=$W59,$C59,0),IF($D59="Per half jaar",IF(MOD(6-$W59,6)=0,$C59,0),IF($D59="Per kwartaal",IF(MOD(6-$W59,3)=0,$C59,0),$F59))))))</f>
        <v/>
      </c>
      <c r="Q59" s="107" t="str">
        <f aca="false">IF($C59="","",IF(Dashboard!$C$4="Gemiddeld per maand",$F59,IF(OR($D59="Per maand",$D59="Per week",$D59=""),$F59,IF($D59="Per jaar",IF(7=$W59,$C59,0),IF($D59="Per half jaar",IF(MOD(7-$W59,6)=0,$C59,0),IF($D59="Per kwartaal",IF(MOD(7-$W59,3)=0,$C59,0),$F59))))))</f>
        <v/>
      </c>
      <c r="R59" s="107" t="str">
        <f aca="false">IF($C59="","",IF(Dashboard!$C$4="Gemiddeld per maand",$F59,IF(OR($D59="Per maand",$D59="Per week",$D59=""),$F59,IF($D59="Per jaar",IF(8=$W59,$C59,0),IF($D59="Per half jaar",IF(MOD(8-$W59,6)=0,$C59,0),IF($D59="Per kwartaal",IF(MOD(8-$W59,3)=0,$C59,0),$F59))))))</f>
        <v/>
      </c>
      <c r="S59" s="107" t="str">
        <f aca="false">IF($C59="","",IF(Dashboard!$C$4="Gemiddeld per maand",$F59,IF(OR($D59="Per maand",$D59="Per week",$D59=""),$F59,IF($D59="Per jaar",IF(9=$W59,$C59,0),IF($D59="Per half jaar",IF(MOD(9-$W59,6)=0,$C59,0),IF($D59="Per kwartaal",IF(MOD(9-$W59,3)=0,$C59,0),$F59))))))</f>
        <v/>
      </c>
      <c r="T59" s="107" t="str">
        <f aca="false">IF($C59="","",IF(Dashboard!$C$4="Gemiddeld per maand",$F59,IF(OR($D59="Per maand",$D59="Per week",$D59=""),$F59,IF($D59="Per jaar",IF(10=$W59,$C59,0),IF($D59="Per half jaar",IF(MOD(10-$W59,6)=0,$C59,0),IF($D59="Per kwartaal",IF(MOD(10-$W59,3)=0,$C59,0),$F59))))))</f>
        <v/>
      </c>
      <c r="U59" s="107" t="str">
        <f aca="false">IF($C59="","",IF(Dashboard!$C$4="Gemiddeld per maand",$F59,IF(OR($D59="Per maand",$D59="Per week",$D59=""),$F59,IF($D59="Per jaar",IF(11=$W59,$C59,0),IF($D59="Per half jaar",IF(MOD(11-$W59,6)=0,$C59,0),IF($D59="Per kwartaal",IF(MOD(11-$W59,3)=0,$C59,0),$F59))))))</f>
        <v/>
      </c>
      <c r="V59" s="107" t="str">
        <f aca="false">IF($C59="","",IF(Dashboard!$C$4="Gemiddeld per maand",$F59,IF(OR($D59="Per maand",$D59="Per week",$D59=""),$F59,IF($D59="Per jaar",IF(12=$W59,$C59,0),IF($D59="Per half jaar",IF(MOD(12-$W59,6)=0,$C59,0),IF($D59="Per kwartaal",IF(MOD(12-$W59,3)=0,$C59,0),$F59))))))</f>
        <v/>
      </c>
      <c r="W59" s="15" t="n">
        <f aca="false">IF($E59="",1,IFERROR(MATCH($E59,Lijsten!$K$6:$K$17,0),1))</f>
        <v>1</v>
      </c>
    </row>
    <row r="60" customFormat="false" ht="15" hidden="false" customHeight="false" outlineLevel="0" collapsed="false">
      <c r="A60" s="102"/>
      <c r="B60" s="102"/>
      <c r="C60" s="92"/>
      <c r="D60" s="102"/>
      <c r="E60" s="103"/>
      <c r="F60" s="104" t="str">
        <f aca="false">IF($C60="","",IF($D60="Per jaar",$C60/12,IF($D60="Per kwartaal",$C60/3,IF($D60="Per half jaar",$C60/6,IF($D60="Per week",$C60*52/12,$C60)))))</f>
        <v/>
      </c>
      <c r="G60" s="102"/>
      <c r="H60" s="103"/>
      <c r="I60" s="105"/>
      <c r="J60" s="106" t="str">
        <f aca="false">IF($C60="","",IF(Dashboard!$C$4="Gemiddeld per maand",$F60,IF(OR($D60="Per maand",$D60="Per week",$D60=""),$F60,IF($D60="Per jaar",IF(Dashboard!$N$2=$W60,$C60,0),IF($D60="Per half jaar",IF(MOD(Dashboard!$N$2-$W60,6)=0,$C60,0),IF($D60="Per kwartaal",IF(MOD(Dashboard!$N$2-$W60,3)=0,$C60,0),$F60))))))</f>
        <v/>
      </c>
      <c r="K60" s="107" t="str">
        <f aca="false">IF($C60="","",IF(Dashboard!$C$4="Gemiddeld per maand",$F60,IF(OR($D60="Per maand",$D60="Per week",$D60=""),$F60,IF($D60="Per jaar",IF(1=$W60,$C60,0),IF($D60="Per half jaar",IF(MOD(1-$W60,6)=0,$C60,0),IF($D60="Per kwartaal",IF(MOD(1-$W60,3)=0,$C60,0),$F60))))))</f>
        <v/>
      </c>
      <c r="L60" s="107" t="str">
        <f aca="false">IF($C60="","",IF(Dashboard!$C$4="Gemiddeld per maand",$F60,IF(OR($D60="Per maand",$D60="Per week",$D60=""),$F60,IF($D60="Per jaar",IF(2=$W60,$C60,0),IF($D60="Per half jaar",IF(MOD(2-$W60,6)=0,$C60,0),IF($D60="Per kwartaal",IF(MOD(2-$W60,3)=0,$C60,0),$F60))))))</f>
        <v/>
      </c>
      <c r="M60" s="107" t="str">
        <f aca="false">IF($C60="","",IF(Dashboard!$C$4="Gemiddeld per maand",$F60,IF(OR($D60="Per maand",$D60="Per week",$D60=""),$F60,IF($D60="Per jaar",IF(3=$W60,$C60,0),IF($D60="Per half jaar",IF(MOD(3-$W60,6)=0,$C60,0),IF($D60="Per kwartaal",IF(MOD(3-$W60,3)=0,$C60,0),$F60))))))</f>
        <v/>
      </c>
      <c r="N60" s="107" t="str">
        <f aca="false">IF($C60="","",IF(Dashboard!$C$4="Gemiddeld per maand",$F60,IF(OR($D60="Per maand",$D60="Per week",$D60=""),$F60,IF($D60="Per jaar",IF(4=$W60,$C60,0),IF($D60="Per half jaar",IF(MOD(4-$W60,6)=0,$C60,0),IF($D60="Per kwartaal",IF(MOD(4-$W60,3)=0,$C60,0),$F60))))))</f>
        <v/>
      </c>
      <c r="O60" s="107" t="str">
        <f aca="false">IF($C60="","",IF(Dashboard!$C$4="Gemiddeld per maand",$F60,IF(OR($D60="Per maand",$D60="Per week",$D60=""),$F60,IF($D60="Per jaar",IF(5=$W60,$C60,0),IF($D60="Per half jaar",IF(MOD(5-$W60,6)=0,$C60,0),IF($D60="Per kwartaal",IF(MOD(5-$W60,3)=0,$C60,0),$F60))))))</f>
        <v/>
      </c>
      <c r="P60" s="107" t="str">
        <f aca="false">IF($C60="","",IF(Dashboard!$C$4="Gemiddeld per maand",$F60,IF(OR($D60="Per maand",$D60="Per week",$D60=""),$F60,IF($D60="Per jaar",IF(6=$W60,$C60,0),IF($D60="Per half jaar",IF(MOD(6-$W60,6)=0,$C60,0),IF($D60="Per kwartaal",IF(MOD(6-$W60,3)=0,$C60,0),$F60))))))</f>
        <v/>
      </c>
      <c r="Q60" s="107" t="str">
        <f aca="false">IF($C60="","",IF(Dashboard!$C$4="Gemiddeld per maand",$F60,IF(OR($D60="Per maand",$D60="Per week",$D60=""),$F60,IF($D60="Per jaar",IF(7=$W60,$C60,0),IF($D60="Per half jaar",IF(MOD(7-$W60,6)=0,$C60,0),IF($D60="Per kwartaal",IF(MOD(7-$W60,3)=0,$C60,0),$F60))))))</f>
        <v/>
      </c>
      <c r="R60" s="107" t="str">
        <f aca="false">IF($C60="","",IF(Dashboard!$C$4="Gemiddeld per maand",$F60,IF(OR($D60="Per maand",$D60="Per week",$D60=""),$F60,IF($D60="Per jaar",IF(8=$W60,$C60,0),IF($D60="Per half jaar",IF(MOD(8-$W60,6)=0,$C60,0),IF($D60="Per kwartaal",IF(MOD(8-$W60,3)=0,$C60,0),$F60))))))</f>
        <v/>
      </c>
      <c r="S60" s="107" t="str">
        <f aca="false">IF($C60="","",IF(Dashboard!$C$4="Gemiddeld per maand",$F60,IF(OR($D60="Per maand",$D60="Per week",$D60=""),$F60,IF($D60="Per jaar",IF(9=$W60,$C60,0),IF($D60="Per half jaar",IF(MOD(9-$W60,6)=0,$C60,0),IF($D60="Per kwartaal",IF(MOD(9-$W60,3)=0,$C60,0),$F60))))))</f>
        <v/>
      </c>
      <c r="T60" s="107" t="str">
        <f aca="false">IF($C60="","",IF(Dashboard!$C$4="Gemiddeld per maand",$F60,IF(OR($D60="Per maand",$D60="Per week",$D60=""),$F60,IF($D60="Per jaar",IF(10=$W60,$C60,0),IF($D60="Per half jaar",IF(MOD(10-$W60,6)=0,$C60,0),IF($D60="Per kwartaal",IF(MOD(10-$W60,3)=0,$C60,0),$F60))))))</f>
        <v/>
      </c>
      <c r="U60" s="107" t="str">
        <f aca="false">IF($C60="","",IF(Dashboard!$C$4="Gemiddeld per maand",$F60,IF(OR($D60="Per maand",$D60="Per week",$D60=""),$F60,IF($D60="Per jaar",IF(11=$W60,$C60,0),IF($D60="Per half jaar",IF(MOD(11-$W60,6)=0,$C60,0),IF($D60="Per kwartaal",IF(MOD(11-$W60,3)=0,$C60,0),$F60))))))</f>
        <v/>
      </c>
      <c r="V60" s="107" t="str">
        <f aca="false">IF($C60="","",IF(Dashboard!$C$4="Gemiddeld per maand",$F60,IF(OR($D60="Per maand",$D60="Per week",$D60=""),$F60,IF($D60="Per jaar",IF(12=$W60,$C60,0),IF($D60="Per half jaar",IF(MOD(12-$W60,6)=0,$C60,0),IF($D60="Per kwartaal",IF(MOD(12-$W60,3)=0,$C60,0),$F60))))))</f>
        <v/>
      </c>
      <c r="W60" s="15" t="n">
        <f aca="false">IF($E60="",1,IFERROR(MATCH($E60,Lijsten!$K$6:$K$17,0),1))</f>
        <v>1</v>
      </c>
    </row>
    <row r="61" customFormat="false" ht="15" hidden="false" customHeight="false" outlineLevel="0" collapsed="false">
      <c r="A61" s="102"/>
      <c r="B61" s="102"/>
      <c r="C61" s="92"/>
      <c r="D61" s="102"/>
      <c r="E61" s="103"/>
      <c r="F61" s="104" t="str">
        <f aca="false">IF($C61="","",IF($D61="Per jaar",$C61/12,IF($D61="Per kwartaal",$C61/3,IF($D61="Per half jaar",$C61/6,IF($D61="Per week",$C61*52/12,$C61)))))</f>
        <v/>
      </c>
      <c r="G61" s="102"/>
      <c r="H61" s="103"/>
      <c r="I61" s="105"/>
      <c r="J61" s="106" t="str">
        <f aca="false">IF($C61="","",IF(Dashboard!$C$4="Gemiddeld per maand",$F61,IF(OR($D61="Per maand",$D61="Per week",$D61=""),$F61,IF($D61="Per jaar",IF(Dashboard!$N$2=$W61,$C61,0),IF($D61="Per half jaar",IF(MOD(Dashboard!$N$2-$W61,6)=0,$C61,0),IF($D61="Per kwartaal",IF(MOD(Dashboard!$N$2-$W61,3)=0,$C61,0),$F61))))))</f>
        <v/>
      </c>
      <c r="K61" s="107" t="str">
        <f aca="false">IF($C61="","",IF(Dashboard!$C$4="Gemiddeld per maand",$F61,IF(OR($D61="Per maand",$D61="Per week",$D61=""),$F61,IF($D61="Per jaar",IF(1=$W61,$C61,0),IF($D61="Per half jaar",IF(MOD(1-$W61,6)=0,$C61,0),IF($D61="Per kwartaal",IF(MOD(1-$W61,3)=0,$C61,0),$F61))))))</f>
        <v/>
      </c>
      <c r="L61" s="107" t="str">
        <f aca="false">IF($C61="","",IF(Dashboard!$C$4="Gemiddeld per maand",$F61,IF(OR($D61="Per maand",$D61="Per week",$D61=""),$F61,IF($D61="Per jaar",IF(2=$W61,$C61,0),IF($D61="Per half jaar",IF(MOD(2-$W61,6)=0,$C61,0),IF($D61="Per kwartaal",IF(MOD(2-$W61,3)=0,$C61,0),$F61))))))</f>
        <v/>
      </c>
      <c r="M61" s="107" t="str">
        <f aca="false">IF($C61="","",IF(Dashboard!$C$4="Gemiddeld per maand",$F61,IF(OR($D61="Per maand",$D61="Per week",$D61=""),$F61,IF($D61="Per jaar",IF(3=$W61,$C61,0),IF($D61="Per half jaar",IF(MOD(3-$W61,6)=0,$C61,0),IF($D61="Per kwartaal",IF(MOD(3-$W61,3)=0,$C61,0),$F61))))))</f>
        <v/>
      </c>
      <c r="N61" s="107" t="str">
        <f aca="false">IF($C61="","",IF(Dashboard!$C$4="Gemiddeld per maand",$F61,IF(OR($D61="Per maand",$D61="Per week",$D61=""),$F61,IF($D61="Per jaar",IF(4=$W61,$C61,0),IF($D61="Per half jaar",IF(MOD(4-$W61,6)=0,$C61,0),IF($D61="Per kwartaal",IF(MOD(4-$W61,3)=0,$C61,0),$F61))))))</f>
        <v/>
      </c>
      <c r="O61" s="107" t="str">
        <f aca="false">IF($C61="","",IF(Dashboard!$C$4="Gemiddeld per maand",$F61,IF(OR($D61="Per maand",$D61="Per week",$D61=""),$F61,IF($D61="Per jaar",IF(5=$W61,$C61,0),IF($D61="Per half jaar",IF(MOD(5-$W61,6)=0,$C61,0),IF($D61="Per kwartaal",IF(MOD(5-$W61,3)=0,$C61,0),$F61))))))</f>
        <v/>
      </c>
      <c r="P61" s="107" t="str">
        <f aca="false">IF($C61="","",IF(Dashboard!$C$4="Gemiddeld per maand",$F61,IF(OR($D61="Per maand",$D61="Per week",$D61=""),$F61,IF($D61="Per jaar",IF(6=$W61,$C61,0),IF($D61="Per half jaar",IF(MOD(6-$W61,6)=0,$C61,0),IF($D61="Per kwartaal",IF(MOD(6-$W61,3)=0,$C61,0),$F61))))))</f>
        <v/>
      </c>
      <c r="Q61" s="107" t="str">
        <f aca="false">IF($C61="","",IF(Dashboard!$C$4="Gemiddeld per maand",$F61,IF(OR($D61="Per maand",$D61="Per week",$D61=""),$F61,IF($D61="Per jaar",IF(7=$W61,$C61,0),IF($D61="Per half jaar",IF(MOD(7-$W61,6)=0,$C61,0),IF($D61="Per kwartaal",IF(MOD(7-$W61,3)=0,$C61,0),$F61))))))</f>
        <v/>
      </c>
      <c r="R61" s="107" t="str">
        <f aca="false">IF($C61="","",IF(Dashboard!$C$4="Gemiddeld per maand",$F61,IF(OR($D61="Per maand",$D61="Per week",$D61=""),$F61,IF($D61="Per jaar",IF(8=$W61,$C61,0),IF($D61="Per half jaar",IF(MOD(8-$W61,6)=0,$C61,0),IF($D61="Per kwartaal",IF(MOD(8-$W61,3)=0,$C61,0),$F61))))))</f>
        <v/>
      </c>
      <c r="S61" s="107" t="str">
        <f aca="false">IF($C61="","",IF(Dashboard!$C$4="Gemiddeld per maand",$F61,IF(OR($D61="Per maand",$D61="Per week",$D61=""),$F61,IF($D61="Per jaar",IF(9=$W61,$C61,0),IF($D61="Per half jaar",IF(MOD(9-$W61,6)=0,$C61,0),IF($D61="Per kwartaal",IF(MOD(9-$W61,3)=0,$C61,0),$F61))))))</f>
        <v/>
      </c>
      <c r="T61" s="107" t="str">
        <f aca="false">IF($C61="","",IF(Dashboard!$C$4="Gemiddeld per maand",$F61,IF(OR($D61="Per maand",$D61="Per week",$D61=""),$F61,IF($D61="Per jaar",IF(10=$W61,$C61,0),IF($D61="Per half jaar",IF(MOD(10-$W61,6)=0,$C61,0),IF($D61="Per kwartaal",IF(MOD(10-$W61,3)=0,$C61,0),$F61))))))</f>
        <v/>
      </c>
      <c r="U61" s="107" t="str">
        <f aca="false">IF($C61="","",IF(Dashboard!$C$4="Gemiddeld per maand",$F61,IF(OR($D61="Per maand",$D61="Per week",$D61=""),$F61,IF($D61="Per jaar",IF(11=$W61,$C61,0),IF($D61="Per half jaar",IF(MOD(11-$W61,6)=0,$C61,0),IF($D61="Per kwartaal",IF(MOD(11-$W61,3)=0,$C61,0),$F61))))))</f>
        <v/>
      </c>
      <c r="V61" s="107" t="str">
        <f aca="false">IF($C61="","",IF(Dashboard!$C$4="Gemiddeld per maand",$F61,IF(OR($D61="Per maand",$D61="Per week",$D61=""),$F61,IF($D61="Per jaar",IF(12=$W61,$C61,0),IF($D61="Per half jaar",IF(MOD(12-$W61,6)=0,$C61,0),IF($D61="Per kwartaal",IF(MOD(12-$W61,3)=0,$C61,0),$F61))))))</f>
        <v/>
      </c>
      <c r="W61" s="15" t="n">
        <f aca="false">IF($E61="",1,IFERROR(MATCH($E61,Lijsten!$K$6:$K$17,0),1))</f>
        <v>1</v>
      </c>
    </row>
    <row r="62" customFormat="false" ht="15" hidden="false" customHeight="false" outlineLevel="0" collapsed="false">
      <c r="A62" s="102"/>
      <c r="B62" s="102"/>
      <c r="C62" s="92"/>
      <c r="D62" s="102"/>
      <c r="E62" s="103"/>
      <c r="F62" s="104" t="str">
        <f aca="false">IF($C62="","",IF($D62="Per jaar",$C62/12,IF($D62="Per kwartaal",$C62/3,IF($D62="Per half jaar",$C62/6,IF($D62="Per week",$C62*52/12,$C62)))))</f>
        <v/>
      </c>
      <c r="G62" s="102"/>
      <c r="H62" s="103"/>
      <c r="I62" s="105"/>
      <c r="J62" s="106" t="str">
        <f aca="false">IF($C62="","",IF(Dashboard!$C$4="Gemiddeld per maand",$F62,IF(OR($D62="Per maand",$D62="Per week",$D62=""),$F62,IF($D62="Per jaar",IF(Dashboard!$N$2=$W62,$C62,0),IF($D62="Per half jaar",IF(MOD(Dashboard!$N$2-$W62,6)=0,$C62,0),IF($D62="Per kwartaal",IF(MOD(Dashboard!$N$2-$W62,3)=0,$C62,0),$F62))))))</f>
        <v/>
      </c>
      <c r="K62" s="107" t="str">
        <f aca="false">IF($C62="","",IF(Dashboard!$C$4="Gemiddeld per maand",$F62,IF(OR($D62="Per maand",$D62="Per week",$D62=""),$F62,IF($D62="Per jaar",IF(1=$W62,$C62,0),IF($D62="Per half jaar",IF(MOD(1-$W62,6)=0,$C62,0),IF($D62="Per kwartaal",IF(MOD(1-$W62,3)=0,$C62,0),$F62))))))</f>
        <v/>
      </c>
      <c r="L62" s="107" t="str">
        <f aca="false">IF($C62="","",IF(Dashboard!$C$4="Gemiddeld per maand",$F62,IF(OR($D62="Per maand",$D62="Per week",$D62=""),$F62,IF($D62="Per jaar",IF(2=$W62,$C62,0),IF($D62="Per half jaar",IF(MOD(2-$W62,6)=0,$C62,0),IF($D62="Per kwartaal",IF(MOD(2-$W62,3)=0,$C62,0),$F62))))))</f>
        <v/>
      </c>
      <c r="M62" s="107" t="str">
        <f aca="false">IF($C62="","",IF(Dashboard!$C$4="Gemiddeld per maand",$F62,IF(OR($D62="Per maand",$D62="Per week",$D62=""),$F62,IF($D62="Per jaar",IF(3=$W62,$C62,0),IF($D62="Per half jaar",IF(MOD(3-$W62,6)=0,$C62,0),IF($D62="Per kwartaal",IF(MOD(3-$W62,3)=0,$C62,0),$F62))))))</f>
        <v/>
      </c>
      <c r="N62" s="107" t="str">
        <f aca="false">IF($C62="","",IF(Dashboard!$C$4="Gemiddeld per maand",$F62,IF(OR($D62="Per maand",$D62="Per week",$D62=""),$F62,IF($D62="Per jaar",IF(4=$W62,$C62,0),IF($D62="Per half jaar",IF(MOD(4-$W62,6)=0,$C62,0),IF($D62="Per kwartaal",IF(MOD(4-$W62,3)=0,$C62,0),$F62))))))</f>
        <v/>
      </c>
      <c r="O62" s="107" t="str">
        <f aca="false">IF($C62="","",IF(Dashboard!$C$4="Gemiddeld per maand",$F62,IF(OR($D62="Per maand",$D62="Per week",$D62=""),$F62,IF($D62="Per jaar",IF(5=$W62,$C62,0),IF($D62="Per half jaar",IF(MOD(5-$W62,6)=0,$C62,0),IF($D62="Per kwartaal",IF(MOD(5-$W62,3)=0,$C62,0),$F62))))))</f>
        <v/>
      </c>
      <c r="P62" s="107" t="str">
        <f aca="false">IF($C62="","",IF(Dashboard!$C$4="Gemiddeld per maand",$F62,IF(OR($D62="Per maand",$D62="Per week",$D62=""),$F62,IF($D62="Per jaar",IF(6=$W62,$C62,0),IF($D62="Per half jaar",IF(MOD(6-$W62,6)=0,$C62,0),IF($D62="Per kwartaal",IF(MOD(6-$W62,3)=0,$C62,0),$F62))))))</f>
        <v/>
      </c>
      <c r="Q62" s="107" t="str">
        <f aca="false">IF($C62="","",IF(Dashboard!$C$4="Gemiddeld per maand",$F62,IF(OR($D62="Per maand",$D62="Per week",$D62=""),$F62,IF($D62="Per jaar",IF(7=$W62,$C62,0),IF($D62="Per half jaar",IF(MOD(7-$W62,6)=0,$C62,0),IF($D62="Per kwartaal",IF(MOD(7-$W62,3)=0,$C62,0),$F62))))))</f>
        <v/>
      </c>
      <c r="R62" s="107" t="str">
        <f aca="false">IF($C62="","",IF(Dashboard!$C$4="Gemiddeld per maand",$F62,IF(OR($D62="Per maand",$D62="Per week",$D62=""),$F62,IF($D62="Per jaar",IF(8=$W62,$C62,0),IF($D62="Per half jaar",IF(MOD(8-$W62,6)=0,$C62,0),IF($D62="Per kwartaal",IF(MOD(8-$W62,3)=0,$C62,0),$F62))))))</f>
        <v/>
      </c>
      <c r="S62" s="107" t="str">
        <f aca="false">IF($C62="","",IF(Dashboard!$C$4="Gemiddeld per maand",$F62,IF(OR($D62="Per maand",$D62="Per week",$D62=""),$F62,IF($D62="Per jaar",IF(9=$W62,$C62,0),IF($D62="Per half jaar",IF(MOD(9-$W62,6)=0,$C62,0),IF($D62="Per kwartaal",IF(MOD(9-$W62,3)=0,$C62,0),$F62))))))</f>
        <v/>
      </c>
      <c r="T62" s="107" t="str">
        <f aca="false">IF($C62="","",IF(Dashboard!$C$4="Gemiddeld per maand",$F62,IF(OR($D62="Per maand",$D62="Per week",$D62=""),$F62,IF($D62="Per jaar",IF(10=$W62,$C62,0),IF($D62="Per half jaar",IF(MOD(10-$W62,6)=0,$C62,0),IF($D62="Per kwartaal",IF(MOD(10-$W62,3)=0,$C62,0),$F62))))))</f>
        <v/>
      </c>
      <c r="U62" s="107" t="str">
        <f aca="false">IF($C62="","",IF(Dashboard!$C$4="Gemiddeld per maand",$F62,IF(OR($D62="Per maand",$D62="Per week",$D62=""),$F62,IF($D62="Per jaar",IF(11=$W62,$C62,0),IF($D62="Per half jaar",IF(MOD(11-$W62,6)=0,$C62,0),IF($D62="Per kwartaal",IF(MOD(11-$W62,3)=0,$C62,0),$F62))))))</f>
        <v/>
      </c>
      <c r="V62" s="107" t="str">
        <f aca="false">IF($C62="","",IF(Dashboard!$C$4="Gemiddeld per maand",$F62,IF(OR($D62="Per maand",$D62="Per week",$D62=""),$F62,IF($D62="Per jaar",IF(12=$W62,$C62,0),IF($D62="Per half jaar",IF(MOD(12-$W62,6)=0,$C62,0),IF($D62="Per kwartaal",IF(MOD(12-$W62,3)=0,$C62,0),$F62))))))</f>
        <v/>
      </c>
      <c r="W62" s="15" t="n">
        <f aca="false">IF($E62="",1,IFERROR(MATCH($E62,Lijsten!$K$6:$K$17,0),1))</f>
        <v>1</v>
      </c>
    </row>
    <row r="63" customFormat="false" ht="15" hidden="false" customHeight="false" outlineLevel="0" collapsed="false">
      <c r="A63" s="102"/>
      <c r="B63" s="102"/>
      <c r="C63" s="92"/>
      <c r="D63" s="102"/>
      <c r="E63" s="103"/>
      <c r="F63" s="104" t="str">
        <f aca="false">IF($C63="","",IF($D63="Per jaar",$C63/12,IF($D63="Per kwartaal",$C63/3,IF($D63="Per half jaar",$C63/6,IF($D63="Per week",$C63*52/12,$C63)))))</f>
        <v/>
      </c>
      <c r="G63" s="102"/>
      <c r="H63" s="103"/>
      <c r="I63" s="105"/>
      <c r="J63" s="106" t="str">
        <f aca="false">IF($C63="","",IF(Dashboard!$C$4="Gemiddeld per maand",$F63,IF(OR($D63="Per maand",$D63="Per week",$D63=""),$F63,IF($D63="Per jaar",IF(Dashboard!$N$2=$W63,$C63,0),IF($D63="Per half jaar",IF(MOD(Dashboard!$N$2-$W63,6)=0,$C63,0),IF($D63="Per kwartaal",IF(MOD(Dashboard!$N$2-$W63,3)=0,$C63,0),$F63))))))</f>
        <v/>
      </c>
      <c r="K63" s="107" t="str">
        <f aca="false">IF($C63="","",IF(Dashboard!$C$4="Gemiddeld per maand",$F63,IF(OR($D63="Per maand",$D63="Per week",$D63=""),$F63,IF($D63="Per jaar",IF(1=$W63,$C63,0),IF($D63="Per half jaar",IF(MOD(1-$W63,6)=0,$C63,0),IF($D63="Per kwartaal",IF(MOD(1-$W63,3)=0,$C63,0),$F63))))))</f>
        <v/>
      </c>
      <c r="L63" s="107" t="str">
        <f aca="false">IF($C63="","",IF(Dashboard!$C$4="Gemiddeld per maand",$F63,IF(OR($D63="Per maand",$D63="Per week",$D63=""),$F63,IF($D63="Per jaar",IF(2=$W63,$C63,0),IF($D63="Per half jaar",IF(MOD(2-$W63,6)=0,$C63,0),IF($D63="Per kwartaal",IF(MOD(2-$W63,3)=0,$C63,0),$F63))))))</f>
        <v/>
      </c>
      <c r="M63" s="107" t="str">
        <f aca="false">IF($C63="","",IF(Dashboard!$C$4="Gemiddeld per maand",$F63,IF(OR($D63="Per maand",$D63="Per week",$D63=""),$F63,IF($D63="Per jaar",IF(3=$W63,$C63,0),IF($D63="Per half jaar",IF(MOD(3-$W63,6)=0,$C63,0),IF($D63="Per kwartaal",IF(MOD(3-$W63,3)=0,$C63,0),$F63))))))</f>
        <v/>
      </c>
      <c r="N63" s="107" t="str">
        <f aca="false">IF($C63="","",IF(Dashboard!$C$4="Gemiddeld per maand",$F63,IF(OR($D63="Per maand",$D63="Per week",$D63=""),$F63,IF($D63="Per jaar",IF(4=$W63,$C63,0),IF($D63="Per half jaar",IF(MOD(4-$W63,6)=0,$C63,0),IF($D63="Per kwartaal",IF(MOD(4-$W63,3)=0,$C63,0),$F63))))))</f>
        <v/>
      </c>
      <c r="O63" s="107" t="str">
        <f aca="false">IF($C63="","",IF(Dashboard!$C$4="Gemiddeld per maand",$F63,IF(OR($D63="Per maand",$D63="Per week",$D63=""),$F63,IF($D63="Per jaar",IF(5=$W63,$C63,0),IF($D63="Per half jaar",IF(MOD(5-$W63,6)=0,$C63,0),IF($D63="Per kwartaal",IF(MOD(5-$W63,3)=0,$C63,0),$F63))))))</f>
        <v/>
      </c>
      <c r="P63" s="107" t="str">
        <f aca="false">IF($C63="","",IF(Dashboard!$C$4="Gemiddeld per maand",$F63,IF(OR($D63="Per maand",$D63="Per week",$D63=""),$F63,IF($D63="Per jaar",IF(6=$W63,$C63,0),IF($D63="Per half jaar",IF(MOD(6-$W63,6)=0,$C63,0),IF($D63="Per kwartaal",IF(MOD(6-$W63,3)=0,$C63,0),$F63))))))</f>
        <v/>
      </c>
      <c r="Q63" s="107" t="str">
        <f aca="false">IF($C63="","",IF(Dashboard!$C$4="Gemiddeld per maand",$F63,IF(OR($D63="Per maand",$D63="Per week",$D63=""),$F63,IF($D63="Per jaar",IF(7=$W63,$C63,0),IF($D63="Per half jaar",IF(MOD(7-$W63,6)=0,$C63,0),IF($D63="Per kwartaal",IF(MOD(7-$W63,3)=0,$C63,0),$F63))))))</f>
        <v/>
      </c>
      <c r="R63" s="107" t="str">
        <f aca="false">IF($C63="","",IF(Dashboard!$C$4="Gemiddeld per maand",$F63,IF(OR($D63="Per maand",$D63="Per week",$D63=""),$F63,IF($D63="Per jaar",IF(8=$W63,$C63,0),IF($D63="Per half jaar",IF(MOD(8-$W63,6)=0,$C63,0),IF($D63="Per kwartaal",IF(MOD(8-$W63,3)=0,$C63,0),$F63))))))</f>
        <v/>
      </c>
      <c r="S63" s="107" t="str">
        <f aca="false">IF($C63="","",IF(Dashboard!$C$4="Gemiddeld per maand",$F63,IF(OR($D63="Per maand",$D63="Per week",$D63=""),$F63,IF($D63="Per jaar",IF(9=$W63,$C63,0),IF($D63="Per half jaar",IF(MOD(9-$W63,6)=0,$C63,0),IF($D63="Per kwartaal",IF(MOD(9-$W63,3)=0,$C63,0),$F63))))))</f>
        <v/>
      </c>
      <c r="T63" s="107" t="str">
        <f aca="false">IF($C63="","",IF(Dashboard!$C$4="Gemiddeld per maand",$F63,IF(OR($D63="Per maand",$D63="Per week",$D63=""),$F63,IF($D63="Per jaar",IF(10=$W63,$C63,0),IF($D63="Per half jaar",IF(MOD(10-$W63,6)=0,$C63,0),IF($D63="Per kwartaal",IF(MOD(10-$W63,3)=0,$C63,0),$F63))))))</f>
        <v/>
      </c>
      <c r="U63" s="107" t="str">
        <f aca="false">IF($C63="","",IF(Dashboard!$C$4="Gemiddeld per maand",$F63,IF(OR($D63="Per maand",$D63="Per week",$D63=""),$F63,IF($D63="Per jaar",IF(11=$W63,$C63,0),IF($D63="Per half jaar",IF(MOD(11-$W63,6)=0,$C63,0),IF($D63="Per kwartaal",IF(MOD(11-$W63,3)=0,$C63,0),$F63))))))</f>
        <v/>
      </c>
      <c r="V63" s="107" t="str">
        <f aca="false">IF($C63="","",IF(Dashboard!$C$4="Gemiddeld per maand",$F63,IF(OR($D63="Per maand",$D63="Per week",$D63=""),$F63,IF($D63="Per jaar",IF(12=$W63,$C63,0),IF($D63="Per half jaar",IF(MOD(12-$W63,6)=0,$C63,0),IF($D63="Per kwartaal",IF(MOD(12-$W63,3)=0,$C63,0),$F63))))))</f>
        <v/>
      </c>
      <c r="W63" s="15" t="n">
        <f aca="false">IF($E63="",1,IFERROR(MATCH($E63,Lijsten!$K$6:$K$17,0),1))</f>
        <v>1</v>
      </c>
    </row>
    <row r="64" customFormat="false" ht="15" hidden="false" customHeight="false" outlineLevel="0" collapsed="false">
      <c r="A64" s="102"/>
      <c r="B64" s="102"/>
      <c r="C64" s="92"/>
      <c r="D64" s="102"/>
      <c r="E64" s="103"/>
      <c r="F64" s="104" t="str">
        <f aca="false">IF($C64="","",IF($D64="Per jaar",$C64/12,IF($D64="Per kwartaal",$C64/3,IF($D64="Per half jaar",$C64/6,IF($D64="Per week",$C64*52/12,$C64)))))</f>
        <v/>
      </c>
      <c r="G64" s="102"/>
      <c r="H64" s="103"/>
      <c r="I64" s="105"/>
      <c r="J64" s="106" t="str">
        <f aca="false">IF($C64="","",IF(Dashboard!$C$4="Gemiddeld per maand",$F64,IF(OR($D64="Per maand",$D64="Per week",$D64=""),$F64,IF($D64="Per jaar",IF(Dashboard!$N$2=$W64,$C64,0),IF($D64="Per half jaar",IF(MOD(Dashboard!$N$2-$W64,6)=0,$C64,0),IF($D64="Per kwartaal",IF(MOD(Dashboard!$N$2-$W64,3)=0,$C64,0),$F64))))))</f>
        <v/>
      </c>
      <c r="K64" s="107" t="str">
        <f aca="false">IF($C64="","",IF(Dashboard!$C$4="Gemiddeld per maand",$F64,IF(OR($D64="Per maand",$D64="Per week",$D64=""),$F64,IF($D64="Per jaar",IF(1=$W64,$C64,0),IF($D64="Per half jaar",IF(MOD(1-$W64,6)=0,$C64,0),IF($D64="Per kwartaal",IF(MOD(1-$W64,3)=0,$C64,0),$F64))))))</f>
        <v/>
      </c>
      <c r="L64" s="107" t="str">
        <f aca="false">IF($C64="","",IF(Dashboard!$C$4="Gemiddeld per maand",$F64,IF(OR($D64="Per maand",$D64="Per week",$D64=""),$F64,IF($D64="Per jaar",IF(2=$W64,$C64,0),IF($D64="Per half jaar",IF(MOD(2-$W64,6)=0,$C64,0),IF($D64="Per kwartaal",IF(MOD(2-$W64,3)=0,$C64,0),$F64))))))</f>
        <v/>
      </c>
      <c r="M64" s="107" t="str">
        <f aca="false">IF($C64="","",IF(Dashboard!$C$4="Gemiddeld per maand",$F64,IF(OR($D64="Per maand",$D64="Per week",$D64=""),$F64,IF($D64="Per jaar",IF(3=$W64,$C64,0),IF($D64="Per half jaar",IF(MOD(3-$W64,6)=0,$C64,0),IF($D64="Per kwartaal",IF(MOD(3-$W64,3)=0,$C64,0),$F64))))))</f>
        <v/>
      </c>
      <c r="N64" s="107" t="str">
        <f aca="false">IF($C64="","",IF(Dashboard!$C$4="Gemiddeld per maand",$F64,IF(OR($D64="Per maand",$D64="Per week",$D64=""),$F64,IF($D64="Per jaar",IF(4=$W64,$C64,0),IF($D64="Per half jaar",IF(MOD(4-$W64,6)=0,$C64,0),IF($D64="Per kwartaal",IF(MOD(4-$W64,3)=0,$C64,0),$F64))))))</f>
        <v/>
      </c>
      <c r="O64" s="107" t="str">
        <f aca="false">IF($C64="","",IF(Dashboard!$C$4="Gemiddeld per maand",$F64,IF(OR($D64="Per maand",$D64="Per week",$D64=""),$F64,IF($D64="Per jaar",IF(5=$W64,$C64,0),IF($D64="Per half jaar",IF(MOD(5-$W64,6)=0,$C64,0),IF($D64="Per kwartaal",IF(MOD(5-$W64,3)=0,$C64,0),$F64))))))</f>
        <v/>
      </c>
      <c r="P64" s="107" t="str">
        <f aca="false">IF($C64="","",IF(Dashboard!$C$4="Gemiddeld per maand",$F64,IF(OR($D64="Per maand",$D64="Per week",$D64=""),$F64,IF($D64="Per jaar",IF(6=$W64,$C64,0),IF($D64="Per half jaar",IF(MOD(6-$W64,6)=0,$C64,0),IF($D64="Per kwartaal",IF(MOD(6-$W64,3)=0,$C64,0),$F64))))))</f>
        <v/>
      </c>
      <c r="Q64" s="107" t="str">
        <f aca="false">IF($C64="","",IF(Dashboard!$C$4="Gemiddeld per maand",$F64,IF(OR($D64="Per maand",$D64="Per week",$D64=""),$F64,IF($D64="Per jaar",IF(7=$W64,$C64,0),IF($D64="Per half jaar",IF(MOD(7-$W64,6)=0,$C64,0),IF($D64="Per kwartaal",IF(MOD(7-$W64,3)=0,$C64,0),$F64))))))</f>
        <v/>
      </c>
      <c r="R64" s="107" t="str">
        <f aca="false">IF($C64="","",IF(Dashboard!$C$4="Gemiddeld per maand",$F64,IF(OR($D64="Per maand",$D64="Per week",$D64=""),$F64,IF($D64="Per jaar",IF(8=$W64,$C64,0),IF($D64="Per half jaar",IF(MOD(8-$W64,6)=0,$C64,0),IF($D64="Per kwartaal",IF(MOD(8-$W64,3)=0,$C64,0),$F64))))))</f>
        <v/>
      </c>
      <c r="S64" s="107" t="str">
        <f aca="false">IF($C64="","",IF(Dashboard!$C$4="Gemiddeld per maand",$F64,IF(OR($D64="Per maand",$D64="Per week",$D64=""),$F64,IF($D64="Per jaar",IF(9=$W64,$C64,0),IF($D64="Per half jaar",IF(MOD(9-$W64,6)=0,$C64,0),IF($D64="Per kwartaal",IF(MOD(9-$W64,3)=0,$C64,0),$F64))))))</f>
        <v/>
      </c>
      <c r="T64" s="107" t="str">
        <f aca="false">IF($C64="","",IF(Dashboard!$C$4="Gemiddeld per maand",$F64,IF(OR($D64="Per maand",$D64="Per week",$D64=""),$F64,IF($D64="Per jaar",IF(10=$W64,$C64,0),IF($D64="Per half jaar",IF(MOD(10-$W64,6)=0,$C64,0),IF($D64="Per kwartaal",IF(MOD(10-$W64,3)=0,$C64,0),$F64))))))</f>
        <v/>
      </c>
      <c r="U64" s="107" t="str">
        <f aca="false">IF($C64="","",IF(Dashboard!$C$4="Gemiddeld per maand",$F64,IF(OR($D64="Per maand",$D64="Per week",$D64=""),$F64,IF($D64="Per jaar",IF(11=$W64,$C64,0),IF($D64="Per half jaar",IF(MOD(11-$W64,6)=0,$C64,0),IF($D64="Per kwartaal",IF(MOD(11-$W64,3)=0,$C64,0),$F64))))))</f>
        <v/>
      </c>
      <c r="V64" s="107" t="str">
        <f aca="false">IF($C64="","",IF(Dashboard!$C$4="Gemiddeld per maand",$F64,IF(OR($D64="Per maand",$D64="Per week",$D64=""),$F64,IF($D64="Per jaar",IF(12=$W64,$C64,0),IF($D64="Per half jaar",IF(MOD(12-$W64,6)=0,$C64,0),IF($D64="Per kwartaal",IF(MOD(12-$W64,3)=0,$C64,0),$F64))))))</f>
        <v/>
      </c>
      <c r="W64" s="15" t="n">
        <f aca="false">IF($E64="",1,IFERROR(MATCH($E64,Lijsten!$K$6:$K$17,0),1))</f>
        <v>1</v>
      </c>
    </row>
    <row r="65" customFormat="false" ht="15" hidden="false" customHeight="false" outlineLevel="0" collapsed="false">
      <c r="A65" s="102"/>
      <c r="B65" s="102"/>
      <c r="C65" s="92"/>
      <c r="D65" s="102"/>
      <c r="E65" s="103"/>
      <c r="F65" s="104" t="str">
        <f aca="false">IF($C65="","",IF($D65="Per jaar",$C65/12,IF($D65="Per kwartaal",$C65/3,IF($D65="Per half jaar",$C65/6,IF($D65="Per week",$C65*52/12,$C65)))))</f>
        <v/>
      </c>
      <c r="G65" s="102"/>
      <c r="H65" s="103"/>
      <c r="I65" s="105"/>
      <c r="J65" s="106" t="str">
        <f aca="false">IF($C65="","",IF(Dashboard!$C$4="Gemiddeld per maand",$F65,IF(OR($D65="Per maand",$D65="Per week",$D65=""),$F65,IF($D65="Per jaar",IF(Dashboard!$N$2=$W65,$C65,0),IF($D65="Per half jaar",IF(MOD(Dashboard!$N$2-$W65,6)=0,$C65,0),IF($D65="Per kwartaal",IF(MOD(Dashboard!$N$2-$W65,3)=0,$C65,0),$F65))))))</f>
        <v/>
      </c>
      <c r="K65" s="107" t="str">
        <f aca="false">IF($C65="","",IF(Dashboard!$C$4="Gemiddeld per maand",$F65,IF(OR($D65="Per maand",$D65="Per week",$D65=""),$F65,IF($D65="Per jaar",IF(1=$W65,$C65,0),IF($D65="Per half jaar",IF(MOD(1-$W65,6)=0,$C65,0),IF($D65="Per kwartaal",IF(MOD(1-$W65,3)=0,$C65,0),$F65))))))</f>
        <v/>
      </c>
      <c r="L65" s="107" t="str">
        <f aca="false">IF($C65="","",IF(Dashboard!$C$4="Gemiddeld per maand",$F65,IF(OR($D65="Per maand",$D65="Per week",$D65=""),$F65,IF($D65="Per jaar",IF(2=$W65,$C65,0),IF($D65="Per half jaar",IF(MOD(2-$W65,6)=0,$C65,0),IF($D65="Per kwartaal",IF(MOD(2-$W65,3)=0,$C65,0),$F65))))))</f>
        <v/>
      </c>
      <c r="M65" s="107" t="str">
        <f aca="false">IF($C65="","",IF(Dashboard!$C$4="Gemiddeld per maand",$F65,IF(OR($D65="Per maand",$D65="Per week",$D65=""),$F65,IF($D65="Per jaar",IF(3=$W65,$C65,0),IF($D65="Per half jaar",IF(MOD(3-$W65,6)=0,$C65,0),IF($D65="Per kwartaal",IF(MOD(3-$W65,3)=0,$C65,0),$F65))))))</f>
        <v/>
      </c>
      <c r="N65" s="107" t="str">
        <f aca="false">IF($C65="","",IF(Dashboard!$C$4="Gemiddeld per maand",$F65,IF(OR($D65="Per maand",$D65="Per week",$D65=""),$F65,IF($D65="Per jaar",IF(4=$W65,$C65,0),IF($D65="Per half jaar",IF(MOD(4-$W65,6)=0,$C65,0),IF($D65="Per kwartaal",IF(MOD(4-$W65,3)=0,$C65,0),$F65))))))</f>
        <v/>
      </c>
      <c r="O65" s="107" t="str">
        <f aca="false">IF($C65="","",IF(Dashboard!$C$4="Gemiddeld per maand",$F65,IF(OR($D65="Per maand",$D65="Per week",$D65=""),$F65,IF($D65="Per jaar",IF(5=$W65,$C65,0),IF($D65="Per half jaar",IF(MOD(5-$W65,6)=0,$C65,0),IF($D65="Per kwartaal",IF(MOD(5-$W65,3)=0,$C65,0),$F65))))))</f>
        <v/>
      </c>
      <c r="P65" s="107" t="str">
        <f aca="false">IF($C65="","",IF(Dashboard!$C$4="Gemiddeld per maand",$F65,IF(OR($D65="Per maand",$D65="Per week",$D65=""),$F65,IF($D65="Per jaar",IF(6=$W65,$C65,0),IF($D65="Per half jaar",IF(MOD(6-$W65,6)=0,$C65,0),IF($D65="Per kwartaal",IF(MOD(6-$W65,3)=0,$C65,0),$F65))))))</f>
        <v/>
      </c>
      <c r="Q65" s="107" t="str">
        <f aca="false">IF($C65="","",IF(Dashboard!$C$4="Gemiddeld per maand",$F65,IF(OR($D65="Per maand",$D65="Per week",$D65=""),$F65,IF($D65="Per jaar",IF(7=$W65,$C65,0),IF($D65="Per half jaar",IF(MOD(7-$W65,6)=0,$C65,0),IF($D65="Per kwartaal",IF(MOD(7-$W65,3)=0,$C65,0),$F65))))))</f>
        <v/>
      </c>
      <c r="R65" s="107" t="str">
        <f aca="false">IF($C65="","",IF(Dashboard!$C$4="Gemiddeld per maand",$F65,IF(OR($D65="Per maand",$D65="Per week",$D65=""),$F65,IF($D65="Per jaar",IF(8=$W65,$C65,0),IF($D65="Per half jaar",IF(MOD(8-$W65,6)=0,$C65,0),IF($D65="Per kwartaal",IF(MOD(8-$W65,3)=0,$C65,0),$F65))))))</f>
        <v/>
      </c>
      <c r="S65" s="107" t="str">
        <f aca="false">IF($C65="","",IF(Dashboard!$C$4="Gemiddeld per maand",$F65,IF(OR($D65="Per maand",$D65="Per week",$D65=""),$F65,IF($D65="Per jaar",IF(9=$W65,$C65,0),IF($D65="Per half jaar",IF(MOD(9-$W65,6)=0,$C65,0),IF($D65="Per kwartaal",IF(MOD(9-$W65,3)=0,$C65,0),$F65))))))</f>
        <v/>
      </c>
      <c r="T65" s="107" t="str">
        <f aca="false">IF($C65="","",IF(Dashboard!$C$4="Gemiddeld per maand",$F65,IF(OR($D65="Per maand",$D65="Per week",$D65=""),$F65,IF($D65="Per jaar",IF(10=$W65,$C65,0),IF($D65="Per half jaar",IF(MOD(10-$W65,6)=0,$C65,0),IF($D65="Per kwartaal",IF(MOD(10-$W65,3)=0,$C65,0),$F65))))))</f>
        <v/>
      </c>
      <c r="U65" s="107" t="str">
        <f aca="false">IF($C65="","",IF(Dashboard!$C$4="Gemiddeld per maand",$F65,IF(OR($D65="Per maand",$D65="Per week",$D65=""),$F65,IF($D65="Per jaar",IF(11=$W65,$C65,0),IF($D65="Per half jaar",IF(MOD(11-$W65,6)=0,$C65,0),IF($D65="Per kwartaal",IF(MOD(11-$W65,3)=0,$C65,0),$F65))))))</f>
        <v/>
      </c>
      <c r="V65" s="107" t="str">
        <f aca="false">IF($C65="","",IF(Dashboard!$C$4="Gemiddeld per maand",$F65,IF(OR($D65="Per maand",$D65="Per week",$D65=""),$F65,IF($D65="Per jaar",IF(12=$W65,$C65,0),IF($D65="Per half jaar",IF(MOD(12-$W65,6)=0,$C65,0),IF($D65="Per kwartaal",IF(MOD(12-$W65,3)=0,$C65,0),$F65))))))</f>
        <v/>
      </c>
      <c r="W65" s="15" t="n">
        <f aca="false">IF($E65="",1,IFERROR(MATCH($E65,Lijsten!$K$6:$K$17,0),1))</f>
        <v>1</v>
      </c>
    </row>
    <row r="66" customFormat="false" ht="15" hidden="false" customHeight="false" outlineLevel="0" collapsed="false">
      <c r="A66" s="102"/>
      <c r="B66" s="102"/>
      <c r="C66" s="92"/>
      <c r="D66" s="102"/>
      <c r="E66" s="103"/>
      <c r="F66" s="104" t="str">
        <f aca="false">IF($C66="","",IF($D66="Per jaar",$C66/12,IF($D66="Per kwartaal",$C66/3,IF($D66="Per half jaar",$C66/6,IF($D66="Per week",$C66*52/12,$C66)))))</f>
        <v/>
      </c>
      <c r="G66" s="102"/>
      <c r="H66" s="103"/>
      <c r="I66" s="105"/>
      <c r="J66" s="106" t="str">
        <f aca="false">IF($C66="","",IF(Dashboard!$C$4="Gemiddeld per maand",$F66,IF(OR($D66="Per maand",$D66="Per week",$D66=""),$F66,IF($D66="Per jaar",IF(Dashboard!$N$2=$W66,$C66,0),IF($D66="Per half jaar",IF(MOD(Dashboard!$N$2-$W66,6)=0,$C66,0),IF($D66="Per kwartaal",IF(MOD(Dashboard!$N$2-$W66,3)=0,$C66,0),$F66))))))</f>
        <v/>
      </c>
      <c r="K66" s="107" t="str">
        <f aca="false">IF($C66="","",IF(Dashboard!$C$4="Gemiddeld per maand",$F66,IF(OR($D66="Per maand",$D66="Per week",$D66=""),$F66,IF($D66="Per jaar",IF(1=$W66,$C66,0),IF($D66="Per half jaar",IF(MOD(1-$W66,6)=0,$C66,0),IF($D66="Per kwartaal",IF(MOD(1-$W66,3)=0,$C66,0),$F66))))))</f>
        <v/>
      </c>
      <c r="L66" s="107" t="str">
        <f aca="false">IF($C66="","",IF(Dashboard!$C$4="Gemiddeld per maand",$F66,IF(OR($D66="Per maand",$D66="Per week",$D66=""),$F66,IF($D66="Per jaar",IF(2=$W66,$C66,0),IF($D66="Per half jaar",IF(MOD(2-$W66,6)=0,$C66,0),IF($D66="Per kwartaal",IF(MOD(2-$W66,3)=0,$C66,0),$F66))))))</f>
        <v/>
      </c>
      <c r="M66" s="107" t="str">
        <f aca="false">IF($C66="","",IF(Dashboard!$C$4="Gemiddeld per maand",$F66,IF(OR($D66="Per maand",$D66="Per week",$D66=""),$F66,IF($D66="Per jaar",IF(3=$W66,$C66,0),IF($D66="Per half jaar",IF(MOD(3-$W66,6)=0,$C66,0),IF($D66="Per kwartaal",IF(MOD(3-$W66,3)=0,$C66,0),$F66))))))</f>
        <v/>
      </c>
      <c r="N66" s="107" t="str">
        <f aca="false">IF($C66="","",IF(Dashboard!$C$4="Gemiddeld per maand",$F66,IF(OR($D66="Per maand",$D66="Per week",$D66=""),$F66,IF($D66="Per jaar",IF(4=$W66,$C66,0),IF($D66="Per half jaar",IF(MOD(4-$W66,6)=0,$C66,0),IF($D66="Per kwartaal",IF(MOD(4-$W66,3)=0,$C66,0),$F66))))))</f>
        <v/>
      </c>
      <c r="O66" s="107" t="str">
        <f aca="false">IF($C66="","",IF(Dashboard!$C$4="Gemiddeld per maand",$F66,IF(OR($D66="Per maand",$D66="Per week",$D66=""),$F66,IF($D66="Per jaar",IF(5=$W66,$C66,0),IF($D66="Per half jaar",IF(MOD(5-$W66,6)=0,$C66,0),IF($D66="Per kwartaal",IF(MOD(5-$W66,3)=0,$C66,0),$F66))))))</f>
        <v/>
      </c>
      <c r="P66" s="107" t="str">
        <f aca="false">IF($C66="","",IF(Dashboard!$C$4="Gemiddeld per maand",$F66,IF(OR($D66="Per maand",$D66="Per week",$D66=""),$F66,IF($D66="Per jaar",IF(6=$W66,$C66,0),IF($D66="Per half jaar",IF(MOD(6-$W66,6)=0,$C66,0),IF($D66="Per kwartaal",IF(MOD(6-$W66,3)=0,$C66,0),$F66))))))</f>
        <v/>
      </c>
      <c r="Q66" s="107" t="str">
        <f aca="false">IF($C66="","",IF(Dashboard!$C$4="Gemiddeld per maand",$F66,IF(OR($D66="Per maand",$D66="Per week",$D66=""),$F66,IF($D66="Per jaar",IF(7=$W66,$C66,0),IF($D66="Per half jaar",IF(MOD(7-$W66,6)=0,$C66,0),IF($D66="Per kwartaal",IF(MOD(7-$W66,3)=0,$C66,0),$F66))))))</f>
        <v/>
      </c>
      <c r="R66" s="107" t="str">
        <f aca="false">IF($C66="","",IF(Dashboard!$C$4="Gemiddeld per maand",$F66,IF(OR($D66="Per maand",$D66="Per week",$D66=""),$F66,IF($D66="Per jaar",IF(8=$W66,$C66,0),IF($D66="Per half jaar",IF(MOD(8-$W66,6)=0,$C66,0),IF($D66="Per kwartaal",IF(MOD(8-$W66,3)=0,$C66,0),$F66))))))</f>
        <v/>
      </c>
      <c r="S66" s="107" t="str">
        <f aca="false">IF($C66="","",IF(Dashboard!$C$4="Gemiddeld per maand",$F66,IF(OR($D66="Per maand",$D66="Per week",$D66=""),$F66,IF($D66="Per jaar",IF(9=$W66,$C66,0),IF($D66="Per half jaar",IF(MOD(9-$W66,6)=0,$C66,0),IF($D66="Per kwartaal",IF(MOD(9-$W66,3)=0,$C66,0),$F66))))))</f>
        <v/>
      </c>
      <c r="T66" s="107" t="str">
        <f aca="false">IF($C66="","",IF(Dashboard!$C$4="Gemiddeld per maand",$F66,IF(OR($D66="Per maand",$D66="Per week",$D66=""),$F66,IF($D66="Per jaar",IF(10=$W66,$C66,0),IF($D66="Per half jaar",IF(MOD(10-$W66,6)=0,$C66,0),IF($D66="Per kwartaal",IF(MOD(10-$W66,3)=0,$C66,0),$F66))))))</f>
        <v/>
      </c>
      <c r="U66" s="107" t="str">
        <f aca="false">IF($C66="","",IF(Dashboard!$C$4="Gemiddeld per maand",$F66,IF(OR($D66="Per maand",$D66="Per week",$D66=""),$F66,IF($D66="Per jaar",IF(11=$W66,$C66,0),IF($D66="Per half jaar",IF(MOD(11-$W66,6)=0,$C66,0),IF($D66="Per kwartaal",IF(MOD(11-$W66,3)=0,$C66,0),$F66))))))</f>
        <v/>
      </c>
      <c r="V66" s="107" t="str">
        <f aca="false">IF($C66="","",IF(Dashboard!$C$4="Gemiddeld per maand",$F66,IF(OR($D66="Per maand",$D66="Per week",$D66=""),$F66,IF($D66="Per jaar",IF(12=$W66,$C66,0),IF($D66="Per half jaar",IF(MOD(12-$W66,6)=0,$C66,0),IF($D66="Per kwartaal",IF(MOD(12-$W66,3)=0,$C66,0),$F66))))))</f>
        <v/>
      </c>
      <c r="W66" s="15" t="n">
        <f aca="false">IF($E66="",1,IFERROR(MATCH($E66,Lijsten!$K$6:$K$17,0),1))</f>
        <v>1</v>
      </c>
    </row>
    <row r="67" customFormat="false" ht="15" hidden="false" customHeight="false" outlineLevel="0" collapsed="false">
      <c r="A67" s="102"/>
      <c r="B67" s="102"/>
      <c r="C67" s="92"/>
      <c r="D67" s="102"/>
      <c r="E67" s="103"/>
      <c r="F67" s="104" t="str">
        <f aca="false">IF($C67="","",IF($D67="Per jaar",$C67/12,IF($D67="Per kwartaal",$C67/3,IF($D67="Per half jaar",$C67/6,IF($D67="Per week",$C67*52/12,$C67)))))</f>
        <v/>
      </c>
      <c r="G67" s="102"/>
      <c r="H67" s="103"/>
      <c r="I67" s="105"/>
      <c r="J67" s="106" t="str">
        <f aca="false">IF($C67="","",IF(Dashboard!$C$4="Gemiddeld per maand",$F67,IF(OR($D67="Per maand",$D67="Per week",$D67=""),$F67,IF($D67="Per jaar",IF(Dashboard!$N$2=$W67,$C67,0),IF($D67="Per half jaar",IF(MOD(Dashboard!$N$2-$W67,6)=0,$C67,0),IF($D67="Per kwartaal",IF(MOD(Dashboard!$N$2-$W67,3)=0,$C67,0),$F67))))))</f>
        <v/>
      </c>
      <c r="K67" s="107" t="str">
        <f aca="false">IF($C67="","",IF(Dashboard!$C$4="Gemiddeld per maand",$F67,IF(OR($D67="Per maand",$D67="Per week",$D67=""),$F67,IF($D67="Per jaar",IF(1=$W67,$C67,0),IF($D67="Per half jaar",IF(MOD(1-$W67,6)=0,$C67,0),IF($D67="Per kwartaal",IF(MOD(1-$W67,3)=0,$C67,0),$F67))))))</f>
        <v/>
      </c>
      <c r="L67" s="107" t="str">
        <f aca="false">IF($C67="","",IF(Dashboard!$C$4="Gemiddeld per maand",$F67,IF(OR($D67="Per maand",$D67="Per week",$D67=""),$F67,IF($D67="Per jaar",IF(2=$W67,$C67,0),IF($D67="Per half jaar",IF(MOD(2-$W67,6)=0,$C67,0),IF($D67="Per kwartaal",IF(MOD(2-$W67,3)=0,$C67,0),$F67))))))</f>
        <v/>
      </c>
      <c r="M67" s="107" t="str">
        <f aca="false">IF($C67="","",IF(Dashboard!$C$4="Gemiddeld per maand",$F67,IF(OR($D67="Per maand",$D67="Per week",$D67=""),$F67,IF($D67="Per jaar",IF(3=$W67,$C67,0),IF($D67="Per half jaar",IF(MOD(3-$W67,6)=0,$C67,0),IF($D67="Per kwartaal",IF(MOD(3-$W67,3)=0,$C67,0),$F67))))))</f>
        <v/>
      </c>
      <c r="N67" s="107" t="str">
        <f aca="false">IF($C67="","",IF(Dashboard!$C$4="Gemiddeld per maand",$F67,IF(OR($D67="Per maand",$D67="Per week",$D67=""),$F67,IF($D67="Per jaar",IF(4=$W67,$C67,0),IF($D67="Per half jaar",IF(MOD(4-$W67,6)=0,$C67,0),IF($D67="Per kwartaal",IF(MOD(4-$W67,3)=0,$C67,0),$F67))))))</f>
        <v/>
      </c>
      <c r="O67" s="107" t="str">
        <f aca="false">IF($C67="","",IF(Dashboard!$C$4="Gemiddeld per maand",$F67,IF(OR($D67="Per maand",$D67="Per week",$D67=""),$F67,IF($D67="Per jaar",IF(5=$W67,$C67,0),IF($D67="Per half jaar",IF(MOD(5-$W67,6)=0,$C67,0),IF($D67="Per kwartaal",IF(MOD(5-$W67,3)=0,$C67,0),$F67))))))</f>
        <v/>
      </c>
      <c r="P67" s="107" t="str">
        <f aca="false">IF($C67="","",IF(Dashboard!$C$4="Gemiddeld per maand",$F67,IF(OR($D67="Per maand",$D67="Per week",$D67=""),$F67,IF($D67="Per jaar",IF(6=$W67,$C67,0),IF($D67="Per half jaar",IF(MOD(6-$W67,6)=0,$C67,0),IF($D67="Per kwartaal",IF(MOD(6-$W67,3)=0,$C67,0),$F67))))))</f>
        <v/>
      </c>
      <c r="Q67" s="107" t="str">
        <f aca="false">IF($C67="","",IF(Dashboard!$C$4="Gemiddeld per maand",$F67,IF(OR($D67="Per maand",$D67="Per week",$D67=""),$F67,IF($D67="Per jaar",IF(7=$W67,$C67,0),IF($D67="Per half jaar",IF(MOD(7-$W67,6)=0,$C67,0),IF($D67="Per kwartaal",IF(MOD(7-$W67,3)=0,$C67,0),$F67))))))</f>
        <v/>
      </c>
      <c r="R67" s="107" t="str">
        <f aca="false">IF($C67="","",IF(Dashboard!$C$4="Gemiddeld per maand",$F67,IF(OR($D67="Per maand",$D67="Per week",$D67=""),$F67,IF($D67="Per jaar",IF(8=$W67,$C67,0),IF($D67="Per half jaar",IF(MOD(8-$W67,6)=0,$C67,0),IF($D67="Per kwartaal",IF(MOD(8-$W67,3)=0,$C67,0),$F67))))))</f>
        <v/>
      </c>
      <c r="S67" s="107" t="str">
        <f aca="false">IF($C67="","",IF(Dashboard!$C$4="Gemiddeld per maand",$F67,IF(OR($D67="Per maand",$D67="Per week",$D67=""),$F67,IF($D67="Per jaar",IF(9=$W67,$C67,0),IF($D67="Per half jaar",IF(MOD(9-$W67,6)=0,$C67,0),IF($D67="Per kwartaal",IF(MOD(9-$W67,3)=0,$C67,0),$F67))))))</f>
        <v/>
      </c>
      <c r="T67" s="107" t="str">
        <f aca="false">IF($C67="","",IF(Dashboard!$C$4="Gemiddeld per maand",$F67,IF(OR($D67="Per maand",$D67="Per week",$D67=""),$F67,IF($D67="Per jaar",IF(10=$W67,$C67,0),IF($D67="Per half jaar",IF(MOD(10-$W67,6)=0,$C67,0),IF($D67="Per kwartaal",IF(MOD(10-$W67,3)=0,$C67,0),$F67))))))</f>
        <v/>
      </c>
      <c r="U67" s="107" t="str">
        <f aca="false">IF($C67="","",IF(Dashboard!$C$4="Gemiddeld per maand",$F67,IF(OR($D67="Per maand",$D67="Per week",$D67=""),$F67,IF($D67="Per jaar",IF(11=$W67,$C67,0),IF($D67="Per half jaar",IF(MOD(11-$W67,6)=0,$C67,0),IF($D67="Per kwartaal",IF(MOD(11-$W67,3)=0,$C67,0),$F67))))))</f>
        <v/>
      </c>
      <c r="V67" s="107" t="str">
        <f aca="false">IF($C67="","",IF(Dashboard!$C$4="Gemiddeld per maand",$F67,IF(OR($D67="Per maand",$D67="Per week",$D67=""),$F67,IF($D67="Per jaar",IF(12=$W67,$C67,0),IF($D67="Per half jaar",IF(MOD(12-$W67,6)=0,$C67,0),IF($D67="Per kwartaal",IF(MOD(12-$W67,3)=0,$C67,0),$F67))))))</f>
        <v/>
      </c>
      <c r="W67" s="15" t="n">
        <f aca="false">IF($E67="",1,IFERROR(MATCH($E67,Lijsten!$K$6:$K$17,0),1))</f>
        <v>1</v>
      </c>
    </row>
    <row r="68" customFormat="false" ht="15" hidden="false" customHeight="false" outlineLevel="0" collapsed="false">
      <c r="A68" s="102"/>
      <c r="B68" s="102"/>
      <c r="C68" s="92"/>
      <c r="D68" s="102"/>
      <c r="E68" s="103"/>
      <c r="F68" s="104" t="str">
        <f aca="false">IF($C68="","",IF($D68="Per jaar",$C68/12,IF($D68="Per kwartaal",$C68/3,IF($D68="Per half jaar",$C68/6,IF($D68="Per week",$C68*52/12,$C68)))))</f>
        <v/>
      </c>
      <c r="G68" s="102"/>
      <c r="H68" s="103"/>
      <c r="I68" s="105"/>
      <c r="J68" s="106" t="str">
        <f aca="false">IF($C68="","",IF(Dashboard!$C$4="Gemiddeld per maand",$F68,IF(OR($D68="Per maand",$D68="Per week",$D68=""),$F68,IF($D68="Per jaar",IF(Dashboard!$N$2=$W68,$C68,0),IF($D68="Per half jaar",IF(MOD(Dashboard!$N$2-$W68,6)=0,$C68,0),IF($D68="Per kwartaal",IF(MOD(Dashboard!$N$2-$W68,3)=0,$C68,0),$F68))))))</f>
        <v/>
      </c>
      <c r="K68" s="107" t="str">
        <f aca="false">IF($C68="","",IF(Dashboard!$C$4="Gemiddeld per maand",$F68,IF(OR($D68="Per maand",$D68="Per week",$D68=""),$F68,IF($D68="Per jaar",IF(1=$W68,$C68,0),IF($D68="Per half jaar",IF(MOD(1-$W68,6)=0,$C68,0),IF($D68="Per kwartaal",IF(MOD(1-$W68,3)=0,$C68,0),$F68))))))</f>
        <v/>
      </c>
      <c r="L68" s="107" t="str">
        <f aca="false">IF($C68="","",IF(Dashboard!$C$4="Gemiddeld per maand",$F68,IF(OR($D68="Per maand",$D68="Per week",$D68=""),$F68,IF($D68="Per jaar",IF(2=$W68,$C68,0),IF($D68="Per half jaar",IF(MOD(2-$W68,6)=0,$C68,0),IF($D68="Per kwartaal",IF(MOD(2-$W68,3)=0,$C68,0),$F68))))))</f>
        <v/>
      </c>
      <c r="M68" s="107" t="str">
        <f aca="false">IF($C68="","",IF(Dashboard!$C$4="Gemiddeld per maand",$F68,IF(OR($D68="Per maand",$D68="Per week",$D68=""),$F68,IF($D68="Per jaar",IF(3=$W68,$C68,0),IF($D68="Per half jaar",IF(MOD(3-$W68,6)=0,$C68,0),IF($D68="Per kwartaal",IF(MOD(3-$W68,3)=0,$C68,0),$F68))))))</f>
        <v/>
      </c>
      <c r="N68" s="107" t="str">
        <f aca="false">IF($C68="","",IF(Dashboard!$C$4="Gemiddeld per maand",$F68,IF(OR($D68="Per maand",$D68="Per week",$D68=""),$F68,IF($D68="Per jaar",IF(4=$W68,$C68,0),IF($D68="Per half jaar",IF(MOD(4-$W68,6)=0,$C68,0),IF($D68="Per kwartaal",IF(MOD(4-$W68,3)=0,$C68,0),$F68))))))</f>
        <v/>
      </c>
      <c r="O68" s="107" t="str">
        <f aca="false">IF($C68="","",IF(Dashboard!$C$4="Gemiddeld per maand",$F68,IF(OR($D68="Per maand",$D68="Per week",$D68=""),$F68,IF($D68="Per jaar",IF(5=$W68,$C68,0),IF($D68="Per half jaar",IF(MOD(5-$W68,6)=0,$C68,0),IF($D68="Per kwartaal",IF(MOD(5-$W68,3)=0,$C68,0),$F68))))))</f>
        <v/>
      </c>
      <c r="P68" s="107" t="str">
        <f aca="false">IF($C68="","",IF(Dashboard!$C$4="Gemiddeld per maand",$F68,IF(OR($D68="Per maand",$D68="Per week",$D68=""),$F68,IF($D68="Per jaar",IF(6=$W68,$C68,0),IF($D68="Per half jaar",IF(MOD(6-$W68,6)=0,$C68,0),IF($D68="Per kwartaal",IF(MOD(6-$W68,3)=0,$C68,0),$F68))))))</f>
        <v/>
      </c>
      <c r="Q68" s="107" t="str">
        <f aca="false">IF($C68="","",IF(Dashboard!$C$4="Gemiddeld per maand",$F68,IF(OR($D68="Per maand",$D68="Per week",$D68=""),$F68,IF($D68="Per jaar",IF(7=$W68,$C68,0),IF($D68="Per half jaar",IF(MOD(7-$W68,6)=0,$C68,0),IF($D68="Per kwartaal",IF(MOD(7-$W68,3)=0,$C68,0),$F68))))))</f>
        <v/>
      </c>
      <c r="R68" s="107" t="str">
        <f aca="false">IF($C68="","",IF(Dashboard!$C$4="Gemiddeld per maand",$F68,IF(OR($D68="Per maand",$D68="Per week",$D68=""),$F68,IF($D68="Per jaar",IF(8=$W68,$C68,0),IF($D68="Per half jaar",IF(MOD(8-$W68,6)=0,$C68,0),IF($D68="Per kwartaal",IF(MOD(8-$W68,3)=0,$C68,0),$F68))))))</f>
        <v/>
      </c>
      <c r="S68" s="107" t="str">
        <f aca="false">IF($C68="","",IF(Dashboard!$C$4="Gemiddeld per maand",$F68,IF(OR($D68="Per maand",$D68="Per week",$D68=""),$F68,IF($D68="Per jaar",IF(9=$W68,$C68,0),IF($D68="Per half jaar",IF(MOD(9-$W68,6)=0,$C68,0),IF($D68="Per kwartaal",IF(MOD(9-$W68,3)=0,$C68,0),$F68))))))</f>
        <v/>
      </c>
      <c r="T68" s="107" t="str">
        <f aca="false">IF($C68="","",IF(Dashboard!$C$4="Gemiddeld per maand",$F68,IF(OR($D68="Per maand",$D68="Per week",$D68=""),$F68,IF($D68="Per jaar",IF(10=$W68,$C68,0),IF($D68="Per half jaar",IF(MOD(10-$W68,6)=0,$C68,0),IF($D68="Per kwartaal",IF(MOD(10-$W68,3)=0,$C68,0),$F68))))))</f>
        <v/>
      </c>
      <c r="U68" s="107" t="str">
        <f aca="false">IF($C68="","",IF(Dashboard!$C$4="Gemiddeld per maand",$F68,IF(OR($D68="Per maand",$D68="Per week",$D68=""),$F68,IF($D68="Per jaar",IF(11=$W68,$C68,0),IF($D68="Per half jaar",IF(MOD(11-$W68,6)=0,$C68,0),IF($D68="Per kwartaal",IF(MOD(11-$W68,3)=0,$C68,0),$F68))))))</f>
        <v/>
      </c>
      <c r="V68" s="107" t="str">
        <f aca="false">IF($C68="","",IF(Dashboard!$C$4="Gemiddeld per maand",$F68,IF(OR($D68="Per maand",$D68="Per week",$D68=""),$F68,IF($D68="Per jaar",IF(12=$W68,$C68,0),IF($D68="Per half jaar",IF(MOD(12-$W68,6)=0,$C68,0),IF($D68="Per kwartaal",IF(MOD(12-$W68,3)=0,$C68,0),$F68))))))</f>
        <v/>
      </c>
      <c r="W68" s="15" t="n">
        <f aca="false">IF($E68="",1,IFERROR(MATCH($E68,Lijsten!$K$6:$K$17,0),1))</f>
        <v>1</v>
      </c>
    </row>
    <row r="69" customFormat="false" ht="15" hidden="false" customHeight="false" outlineLevel="0" collapsed="false">
      <c r="A69" s="102"/>
      <c r="B69" s="102"/>
      <c r="C69" s="92"/>
      <c r="D69" s="102"/>
      <c r="E69" s="103"/>
      <c r="F69" s="104" t="str">
        <f aca="false">IF($C69="","",IF($D69="Per jaar",$C69/12,IF($D69="Per kwartaal",$C69/3,IF($D69="Per half jaar",$C69/6,IF($D69="Per week",$C69*52/12,$C69)))))</f>
        <v/>
      </c>
      <c r="G69" s="102"/>
      <c r="H69" s="103"/>
      <c r="I69" s="105"/>
      <c r="J69" s="106" t="str">
        <f aca="false">IF($C69="","",IF(Dashboard!$C$4="Gemiddeld per maand",$F69,IF(OR($D69="Per maand",$D69="Per week",$D69=""),$F69,IF($D69="Per jaar",IF(Dashboard!$N$2=$W69,$C69,0),IF($D69="Per half jaar",IF(MOD(Dashboard!$N$2-$W69,6)=0,$C69,0),IF($D69="Per kwartaal",IF(MOD(Dashboard!$N$2-$W69,3)=0,$C69,0),$F69))))))</f>
        <v/>
      </c>
      <c r="K69" s="107" t="str">
        <f aca="false">IF($C69="","",IF(Dashboard!$C$4="Gemiddeld per maand",$F69,IF(OR($D69="Per maand",$D69="Per week",$D69=""),$F69,IF($D69="Per jaar",IF(1=$W69,$C69,0),IF($D69="Per half jaar",IF(MOD(1-$W69,6)=0,$C69,0),IF($D69="Per kwartaal",IF(MOD(1-$W69,3)=0,$C69,0),$F69))))))</f>
        <v/>
      </c>
      <c r="L69" s="107" t="str">
        <f aca="false">IF($C69="","",IF(Dashboard!$C$4="Gemiddeld per maand",$F69,IF(OR($D69="Per maand",$D69="Per week",$D69=""),$F69,IF($D69="Per jaar",IF(2=$W69,$C69,0),IF($D69="Per half jaar",IF(MOD(2-$W69,6)=0,$C69,0),IF($D69="Per kwartaal",IF(MOD(2-$W69,3)=0,$C69,0),$F69))))))</f>
        <v/>
      </c>
      <c r="M69" s="107" t="str">
        <f aca="false">IF($C69="","",IF(Dashboard!$C$4="Gemiddeld per maand",$F69,IF(OR($D69="Per maand",$D69="Per week",$D69=""),$F69,IF($D69="Per jaar",IF(3=$W69,$C69,0),IF($D69="Per half jaar",IF(MOD(3-$W69,6)=0,$C69,0),IF($D69="Per kwartaal",IF(MOD(3-$W69,3)=0,$C69,0),$F69))))))</f>
        <v/>
      </c>
      <c r="N69" s="107" t="str">
        <f aca="false">IF($C69="","",IF(Dashboard!$C$4="Gemiddeld per maand",$F69,IF(OR($D69="Per maand",$D69="Per week",$D69=""),$F69,IF($D69="Per jaar",IF(4=$W69,$C69,0),IF($D69="Per half jaar",IF(MOD(4-$W69,6)=0,$C69,0),IF($D69="Per kwartaal",IF(MOD(4-$W69,3)=0,$C69,0),$F69))))))</f>
        <v/>
      </c>
      <c r="O69" s="107" t="str">
        <f aca="false">IF($C69="","",IF(Dashboard!$C$4="Gemiddeld per maand",$F69,IF(OR($D69="Per maand",$D69="Per week",$D69=""),$F69,IF($D69="Per jaar",IF(5=$W69,$C69,0),IF($D69="Per half jaar",IF(MOD(5-$W69,6)=0,$C69,0),IF($D69="Per kwartaal",IF(MOD(5-$W69,3)=0,$C69,0),$F69))))))</f>
        <v/>
      </c>
      <c r="P69" s="107" t="str">
        <f aca="false">IF($C69="","",IF(Dashboard!$C$4="Gemiddeld per maand",$F69,IF(OR($D69="Per maand",$D69="Per week",$D69=""),$F69,IF($D69="Per jaar",IF(6=$W69,$C69,0),IF($D69="Per half jaar",IF(MOD(6-$W69,6)=0,$C69,0),IF($D69="Per kwartaal",IF(MOD(6-$W69,3)=0,$C69,0),$F69))))))</f>
        <v/>
      </c>
      <c r="Q69" s="107" t="str">
        <f aca="false">IF($C69="","",IF(Dashboard!$C$4="Gemiddeld per maand",$F69,IF(OR($D69="Per maand",$D69="Per week",$D69=""),$F69,IF($D69="Per jaar",IF(7=$W69,$C69,0),IF($D69="Per half jaar",IF(MOD(7-$W69,6)=0,$C69,0),IF($D69="Per kwartaal",IF(MOD(7-$W69,3)=0,$C69,0),$F69))))))</f>
        <v/>
      </c>
      <c r="R69" s="107" t="str">
        <f aca="false">IF($C69="","",IF(Dashboard!$C$4="Gemiddeld per maand",$F69,IF(OR($D69="Per maand",$D69="Per week",$D69=""),$F69,IF($D69="Per jaar",IF(8=$W69,$C69,0),IF($D69="Per half jaar",IF(MOD(8-$W69,6)=0,$C69,0),IF($D69="Per kwartaal",IF(MOD(8-$W69,3)=0,$C69,0),$F69))))))</f>
        <v/>
      </c>
      <c r="S69" s="107" t="str">
        <f aca="false">IF($C69="","",IF(Dashboard!$C$4="Gemiddeld per maand",$F69,IF(OR($D69="Per maand",$D69="Per week",$D69=""),$F69,IF($D69="Per jaar",IF(9=$W69,$C69,0),IF($D69="Per half jaar",IF(MOD(9-$W69,6)=0,$C69,0),IF($D69="Per kwartaal",IF(MOD(9-$W69,3)=0,$C69,0),$F69))))))</f>
        <v/>
      </c>
      <c r="T69" s="107" t="str">
        <f aca="false">IF($C69="","",IF(Dashboard!$C$4="Gemiddeld per maand",$F69,IF(OR($D69="Per maand",$D69="Per week",$D69=""),$F69,IF($D69="Per jaar",IF(10=$W69,$C69,0),IF($D69="Per half jaar",IF(MOD(10-$W69,6)=0,$C69,0),IF($D69="Per kwartaal",IF(MOD(10-$W69,3)=0,$C69,0),$F69))))))</f>
        <v/>
      </c>
      <c r="U69" s="107" t="str">
        <f aca="false">IF($C69="","",IF(Dashboard!$C$4="Gemiddeld per maand",$F69,IF(OR($D69="Per maand",$D69="Per week",$D69=""),$F69,IF($D69="Per jaar",IF(11=$W69,$C69,0),IF($D69="Per half jaar",IF(MOD(11-$W69,6)=0,$C69,0),IF($D69="Per kwartaal",IF(MOD(11-$W69,3)=0,$C69,0),$F69))))))</f>
        <v/>
      </c>
      <c r="V69" s="107" t="str">
        <f aca="false">IF($C69="","",IF(Dashboard!$C$4="Gemiddeld per maand",$F69,IF(OR($D69="Per maand",$D69="Per week",$D69=""),$F69,IF($D69="Per jaar",IF(12=$W69,$C69,0),IF($D69="Per half jaar",IF(MOD(12-$W69,6)=0,$C69,0),IF($D69="Per kwartaal",IF(MOD(12-$W69,3)=0,$C69,0),$F69))))))</f>
        <v/>
      </c>
      <c r="W69" s="15" t="n">
        <f aca="false">IF($E69="",1,IFERROR(MATCH($E69,Lijsten!$K$6:$K$17,0),1))</f>
        <v>1</v>
      </c>
    </row>
    <row r="70" customFormat="false" ht="15" hidden="false" customHeight="false" outlineLevel="0" collapsed="false">
      <c r="A70" s="102"/>
      <c r="B70" s="102"/>
      <c r="C70" s="92"/>
      <c r="D70" s="102"/>
      <c r="E70" s="103"/>
      <c r="F70" s="104" t="str">
        <f aca="false">IF($C70="","",IF($D70="Per jaar",$C70/12,IF($D70="Per kwartaal",$C70/3,IF($D70="Per half jaar",$C70/6,IF($D70="Per week",$C70*52/12,$C70)))))</f>
        <v/>
      </c>
      <c r="G70" s="102"/>
      <c r="H70" s="103"/>
      <c r="I70" s="105"/>
      <c r="J70" s="106" t="str">
        <f aca="false">IF($C70="","",IF(Dashboard!$C$4="Gemiddeld per maand",$F70,IF(OR($D70="Per maand",$D70="Per week",$D70=""),$F70,IF($D70="Per jaar",IF(Dashboard!$N$2=$W70,$C70,0),IF($D70="Per half jaar",IF(MOD(Dashboard!$N$2-$W70,6)=0,$C70,0),IF($D70="Per kwartaal",IF(MOD(Dashboard!$N$2-$W70,3)=0,$C70,0),$F70))))))</f>
        <v/>
      </c>
      <c r="K70" s="107" t="str">
        <f aca="false">IF($C70="","",IF(Dashboard!$C$4="Gemiddeld per maand",$F70,IF(OR($D70="Per maand",$D70="Per week",$D70=""),$F70,IF($D70="Per jaar",IF(1=$W70,$C70,0),IF($D70="Per half jaar",IF(MOD(1-$W70,6)=0,$C70,0),IF($D70="Per kwartaal",IF(MOD(1-$W70,3)=0,$C70,0),$F70))))))</f>
        <v/>
      </c>
      <c r="L70" s="107" t="str">
        <f aca="false">IF($C70="","",IF(Dashboard!$C$4="Gemiddeld per maand",$F70,IF(OR($D70="Per maand",$D70="Per week",$D70=""),$F70,IF($D70="Per jaar",IF(2=$W70,$C70,0),IF($D70="Per half jaar",IF(MOD(2-$W70,6)=0,$C70,0),IF($D70="Per kwartaal",IF(MOD(2-$W70,3)=0,$C70,0),$F70))))))</f>
        <v/>
      </c>
      <c r="M70" s="107" t="str">
        <f aca="false">IF($C70="","",IF(Dashboard!$C$4="Gemiddeld per maand",$F70,IF(OR($D70="Per maand",$D70="Per week",$D70=""),$F70,IF($D70="Per jaar",IF(3=$W70,$C70,0),IF($D70="Per half jaar",IF(MOD(3-$W70,6)=0,$C70,0),IF($D70="Per kwartaal",IF(MOD(3-$W70,3)=0,$C70,0),$F70))))))</f>
        <v/>
      </c>
      <c r="N70" s="107" t="str">
        <f aca="false">IF($C70="","",IF(Dashboard!$C$4="Gemiddeld per maand",$F70,IF(OR($D70="Per maand",$D70="Per week",$D70=""),$F70,IF($D70="Per jaar",IF(4=$W70,$C70,0),IF($D70="Per half jaar",IF(MOD(4-$W70,6)=0,$C70,0),IF($D70="Per kwartaal",IF(MOD(4-$W70,3)=0,$C70,0),$F70))))))</f>
        <v/>
      </c>
      <c r="O70" s="107" t="str">
        <f aca="false">IF($C70="","",IF(Dashboard!$C$4="Gemiddeld per maand",$F70,IF(OR($D70="Per maand",$D70="Per week",$D70=""),$F70,IF($D70="Per jaar",IF(5=$W70,$C70,0),IF($D70="Per half jaar",IF(MOD(5-$W70,6)=0,$C70,0),IF($D70="Per kwartaal",IF(MOD(5-$W70,3)=0,$C70,0),$F70))))))</f>
        <v/>
      </c>
      <c r="P70" s="107" t="str">
        <f aca="false">IF($C70="","",IF(Dashboard!$C$4="Gemiddeld per maand",$F70,IF(OR($D70="Per maand",$D70="Per week",$D70=""),$F70,IF($D70="Per jaar",IF(6=$W70,$C70,0),IF($D70="Per half jaar",IF(MOD(6-$W70,6)=0,$C70,0),IF($D70="Per kwartaal",IF(MOD(6-$W70,3)=0,$C70,0),$F70))))))</f>
        <v/>
      </c>
      <c r="Q70" s="107" t="str">
        <f aca="false">IF($C70="","",IF(Dashboard!$C$4="Gemiddeld per maand",$F70,IF(OR($D70="Per maand",$D70="Per week",$D70=""),$F70,IF($D70="Per jaar",IF(7=$W70,$C70,0),IF($D70="Per half jaar",IF(MOD(7-$W70,6)=0,$C70,0),IF($D70="Per kwartaal",IF(MOD(7-$W70,3)=0,$C70,0),$F70))))))</f>
        <v/>
      </c>
      <c r="R70" s="107" t="str">
        <f aca="false">IF($C70="","",IF(Dashboard!$C$4="Gemiddeld per maand",$F70,IF(OR($D70="Per maand",$D70="Per week",$D70=""),$F70,IF($D70="Per jaar",IF(8=$W70,$C70,0),IF($D70="Per half jaar",IF(MOD(8-$W70,6)=0,$C70,0),IF($D70="Per kwartaal",IF(MOD(8-$W70,3)=0,$C70,0),$F70))))))</f>
        <v/>
      </c>
      <c r="S70" s="107" t="str">
        <f aca="false">IF($C70="","",IF(Dashboard!$C$4="Gemiddeld per maand",$F70,IF(OR($D70="Per maand",$D70="Per week",$D70=""),$F70,IF($D70="Per jaar",IF(9=$W70,$C70,0),IF($D70="Per half jaar",IF(MOD(9-$W70,6)=0,$C70,0),IF($D70="Per kwartaal",IF(MOD(9-$W70,3)=0,$C70,0),$F70))))))</f>
        <v/>
      </c>
      <c r="T70" s="107" t="str">
        <f aca="false">IF($C70="","",IF(Dashboard!$C$4="Gemiddeld per maand",$F70,IF(OR($D70="Per maand",$D70="Per week",$D70=""),$F70,IF($D70="Per jaar",IF(10=$W70,$C70,0),IF($D70="Per half jaar",IF(MOD(10-$W70,6)=0,$C70,0),IF($D70="Per kwartaal",IF(MOD(10-$W70,3)=0,$C70,0),$F70))))))</f>
        <v/>
      </c>
      <c r="U70" s="107" t="str">
        <f aca="false">IF($C70="","",IF(Dashboard!$C$4="Gemiddeld per maand",$F70,IF(OR($D70="Per maand",$D70="Per week",$D70=""),$F70,IF($D70="Per jaar",IF(11=$W70,$C70,0),IF($D70="Per half jaar",IF(MOD(11-$W70,6)=0,$C70,0),IF($D70="Per kwartaal",IF(MOD(11-$W70,3)=0,$C70,0),$F70))))))</f>
        <v/>
      </c>
      <c r="V70" s="107" t="str">
        <f aca="false">IF($C70="","",IF(Dashboard!$C$4="Gemiddeld per maand",$F70,IF(OR($D70="Per maand",$D70="Per week",$D70=""),$F70,IF($D70="Per jaar",IF(12=$W70,$C70,0),IF($D70="Per half jaar",IF(MOD(12-$W70,6)=0,$C70,0),IF($D70="Per kwartaal",IF(MOD(12-$W70,3)=0,$C70,0),$F70))))))</f>
        <v/>
      </c>
      <c r="W70" s="15" t="n">
        <f aca="false">IF($E70="",1,IFERROR(MATCH($E70,Lijsten!$K$6:$K$17,0),1))</f>
        <v>1</v>
      </c>
    </row>
    <row r="71" customFormat="false" ht="15" hidden="false" customHeight="false" outlineLevel="0" collapsed="false">
      <c r="A71" s="102"/>
      <c r="B71" s="102"/>
      <c r="C71" s="92"/>
      <c r="D71" s="102"/>
      <c r="E71" s="103"/>
      <c r="F71" s="104" t="str">
        <f aca="false">IF($C71="","",IF($D71="Per jaar",$C71/12,IF($D71="Per kwartaal",$C71/3,IF($D71="Per half jaar",$C71/6,IF($D71="Per week",$C71*52/12,$C71)))))</f>
        <v/>
      </c>
      <c r="G71" s="102"/>
      <c r="H71" s="103"/>
      <c r="I71" s="105"/>
      <c r="J71" s="106" t="str">
        <f aca="false">IF($C71="","",IF(Dashboard!$C$4="Gemiddeld per maand",$F71,IF(OR($D71="Per maand",$D71="Per week",$D71=""),$F71,IF($D71="Per jaar",IF(Dashboard!$N$2=$W71,$C71,0),IF($D71="Per half jaar",IF(MOD(Dashboard!$N$2-$W71,6)=0,$C71,0),IF($D71="Per kwartaal",IF(MOD(Dashboard!$N$2-$W71,3)=0,$C71,0),$F71))))))</f>
        <v/>
      </c>
      <c r="K71" s="107" t="str">
        <f aca="false">IF($C71="","",IF(Dashboard!$C$4="Gemiddeld per maand",$F71,IF(OR($D71="Per maand",$D71="Per week",$D71=""),$F71,IF($D71="Per jaar",IF(1=$W71,$C71,0),IF($D71="Per half jaar",IF(MOD(1-$W71,6)=0,$C71,0),IF($D71="Per kwartaal",IF(MOD(1-$W71,3)=0,$C71,0),$F71))))))</f>
        <v/>
      </c>
      <c r="L71" s="107" t="str">
        <f aca="false">IF($C71="","",IF(Dashboard!$C$4="Gemiddeld per maand",$F71,IF(OR($D71="Per maand",$D71="Per week",$D71=""),$F71,IF($D71="Per jaar",IF(2=$W71,$C71,0),IF($D71="Per half jaar",IF(MOD(2-$W71,6)=0,$C71,0),IF($D71="Per kwartaal",IF(MOD(2-$W71,3)=0,$C71,0),$F71))))))</f>
        <v/>
      </c>
      <c r="M71" s="107" t="str">
        <f aca="false">IF($C71="","",IF(Dashboard!$C$4="Gemiddeld per maand",$F71,IF(OR($D71="Per maand",$D71="Per week",$D71=""),$F71,IF($D71="Per jaar",IF(3=$W71,$C71,0),IF($D71="Per half jaar",IF(MOD(3-$W71,6)=0,$C71,0),IF($D71="Per kwartaal",IF(MOD(3-$W71,3)=0,$C71,0),$F71))))))</f>
        <v/>
      </c>
      <c r="N71" s="107" t="str">
        <f aca="false">IF($C71="","",IF(Dashboard!$C$4="Gemiddeld per maand",$F71,IF(OR($D71="Per maand",$D71="Per week",$D71=""),$F71,IF($D71="Per jaar",IF(4=$W71,$C71,0),IF($D71="Per half jaar",IF(MOD(4-$W71,6)=0,$C71,0),IF($D71="Per kwartaal",IF(MOD(4-$W71,3)=0,$C71,0),$F71))))))</f>
        <v/>
      </c>
      <c r="O71" s="107" t="str">
        <f aca="false">IF($C71="","",IF(Dashboard!$C$4="Gemiddeld per maand",$F71,IF(OR($D71="Per maand",$D71="Per week",$D71=""),$F71,IF($D71="Per jaar",IF(5=$W71,$C71,0),IF($D71="Per half jaar",IF(MOD(5-$W71,6)=0,$C71,0),IF($D71="Per kwartaal",IF(MOD(5-$W71,3)=0,$C71,0),$F71))))))</f>
        <v/>
      </c>
      <c r="P71" s="107" t="str">
        <f aca="false">IF($C71="","",IF(Dashboard!$C$4="Gemiddeld per maand",$F71,IF(OR($D71="Per maand",$D71="Per week",$D71=""),$F71,IF($D71="Per jaar",IF(6=$W71,$C71,0),IF($D71="Per half jaar",IF(MOD(6-$W71,6)=0,$C71,0),IF($D71="Per kwartaal",IF(MOD(6-$W71,3)=0,$C71,0),$F71))))))</f>
        <v/>
      </c>
      <c r="Q71" s="107" t="str">
        <f aca="false">IF($C71="","",IF(Dashboard!$C$4="Gemiddeld per maand",$F71,IF(OR($D71="Per maand",$D71="Per week",$D71=""),$F71,IF($D71="Per jaar",IF(7=$W71,$C71,0),IF($D71="Per half jaar",IF(MOD(7-$W71,6)=0,$C71,0),IF($D71="Per kwartaal",IF(MOD(7-$W71,3)=0,$C71,0),$F71))))))</f>
        <v/>
      </c>
      <c r="R71" s="107" t="str">
        <f aca="false">IF($C71="","",IF(Dashboard!$C$4="Gemiddeld per maand",$F71,IF(OR($D71="Per maand",$D71="Per week",$D71=""),$F71,IF($D71="Per jaar",IF(8=$W71,$C71,0),IF($D71="Per half jaar",IF(MOD(8-$W71,6)=0,$C71,0),IF($D71="Per kwartaal",IF(MOD(8-$W71,3)=0,$C71,0),$F71))))))</f>
        <v/>
      </c>
      <c r="S71" s="107" t="str">
        <f aca="false">IF($C71="","",IF(Dashboard!$C$4="Gemiddeld per maand",$F71,IF(OR($D71="Per maand",$D71="Per week",$D71=""),$F71,IF($D71="Per jaar",IF(9=$W71,$C71,0),IF($D71="Per half jaar",IF(MOD(9-$W71,6)=0,$C71,0),IF($D71="Per kwartaal",IF(MOD(9-$W71,3)=0,$C71,0),$F71))))))</f>
        <v/>
      </c>
      <c r="T71" s="107" t="str">
        <f aca="false">IF($C71="","",IF(Dashboard!$C$4="Gemiddeld per maand",$F71,IF(OR($D71="Per maand",$D71="Per week",$D71=""),$F71,IF($D71="Per jaar",IF(10=$W71,$C71,0),IF($D71="Per half jaar",IF(MOD(10-$W71,6)=0,$C71,0),IF($D71="Per kwartaal",IF(MOD(10-$W71,3)=0,$C71,0),$F71))))))</f>
        <v/>
      </c>
      <c r="U71" s="107" t="str">
        <f aca="false">IF($C71="","",IF(Dashboard!$C$4="Gemiddeld per maand",$F71,IF(OR($D71="Per maand",$D71="Per week",$D71=""),$F71,IF($D71="Per jaar",IF(11=$W71,$C71,0),IF($D71="Per half jaar",IF(MOD(11-$W71,6)=0,$C71,0),IF($D71="Per kwartaal",IF(MOD(11-$W71,3)=0,$C71,0),$F71))))))</f>
        <v/>
      </c>
      <c r="V71" s="107" t="str">
        <f aca="false">IF($C71="","",IF(Dashboard!$C$4="Gemiddeld per maand",$F71,IF(OR($D71="Per maand",$D71="Per week",$D71=""),$F71,IF($D71="Per jaar",IF(12=$W71,$C71,0),IF($D71="Per half jaar",IF(MOD(12-$W71,6)=0,$C71,0),IF($D71="Per kwartaal",IF(MOD(12-$W71,3)=0,$C71,0),$F71))))))</f>
        <v/>
      </c>
      <c r="W71" s="15" t="n">
        <f aca="false">IF($E71="",1,IFERROR(MATCH($E71,Lijsten!$K$6:$K$17,0),1))</f>
        <v>1</v>
      </c>
    </row>
    <row r="72" customFormat="false" ht="15" hidden="false" customHeight="false" outlineLevel="0" collapsed="false">
      <c r="A72" s="102"/>
      <c r="B72" s="102"/>
      <c r="C72" s="92"/>
      <c r="D72" s="102"/>
      <c r="E72" s="103"/>
      <c r="F72" s="104" t="str">
        <f aca="false">IF($C72="","",IF($D72="Per jaar",$C72/12,IF($D72="Per kwartaal",$C72/3,IF($D72="Per half jaar",$C72/6,IF($D72="Per week",$C72*52/12,$C72)))))</f>
        <v/>
      </c>
      <c r="G72" s="102"/>
      <c r="H72" s="103"/>
      <c r="I72" s="105"/>
      <c r="J72" s="106" t="str">
        <f aca="false">IF($C72="","",IF(Dashboard!$C$4="Gemiddeld per maand",$F72,IF(OR($D72="Per maand",$D72="Per week",$D72=""),$F72,IF($D72="Per jaar",IF(Dashboard!$N$2=$W72,$C72,0),IF($D72="Per half jaar",IF(MOD(Dashboard!$N$2-$W72,6)=0,$C72,0),IF($D72="Per kwartaal",IF(MOD(Dashboard!$N$2-$W72,3)=0,$C72,0),$F72))))))</f>
        <v/>
      </c>
      <c r="K72" s="107" t="str">
        <f aca="false">IF($C72="","",IF(Dashboard!$C$4="Gemiddeld per maand",$F72,IF(OR($D72="Per maand",$D72="Per week",$D72=""),$F72,IF($D72="Per jaar",IF(1=$W72,$C72,0),IF($D72="Per half jaar",IF(MOD(1-$W72,6)=0,$C72,0),IF($D72="Per kwartaal",IF(MOD(1-$W72,3)=0,$C72,0),$F72))))))</f>
        <v/>
      </c>
      <c r="L72" s="107" t="str">
        <f aca="false">IF($C72="","",IF(Dashboard!$C$4="Gemiddeld per maand",$F72,IF(OR($D72="Per maand",$D72="Per week",$D72=""),$F72,IF($D72="Per jaar",IF(2=$W72,$C72,0),IF($D72="Per half jaar",IF(MOD(2-$W72,6)=0,$C72,0),IF($D72="Per kwartaal",IF(MOD(2-$W72,3)=0,$C72,0),$F72))))))</f>
        <v/>
      </c>
      <c r="M72" s="107" t="str">
        <f aca="false">IF($C72="","",IF(Dashboard!$C$4="Gemiddeld per maand",$F72,IF(OR($D72="Per maand",$D72="Per week",$D72=""),$F72,IF($D72="Per jaar",IF(3=$W72,$C72,0),IF($D72="Per half jaar",IF(MOD(3-$W72,6)=0,$C72,0),IF($D72="Per kwartaal",IF(MOD(3-$W72,3)=0,$C72,0),$F72))))))</f>
        <v/>
      </c>
      <c r="N72" s="107" t="str">
        <f aca="false">IF($C72="","",IF(Dashboard!$C$4="Gemiddeld per maand",$F72,IF(OR($D72="Per maand",$D72="Per week",$D72=""),$F72,IF($D72="Per jaar",IF(4=$W72,$C72,0),IF($D72="Per half jaar",IF(MOD(4-$W72,6)=0,$C72,0),IF($D72="Per kwartaal",IF(MOD(4-$W72,3)=0,$C72,0),$F72))))))</f>
        <v/>
      </c>
      <c r="O72" s="107" t="str">
        <f aca="false">IF($C72="","",IF(Dashboard!$C$4="Gemiddeld per maand",$F72,IF(OR($D72="Per maand",$D72="Per week",$D72=""),$F72,IF($D72="Per jaar",IF(5=$W72,$C72,0),IF($D72="Per half jaar",IF(MOD(5-$W72,6)=0,$C72,0),IF($D72="Per kwartaal",IF(MOD(5-$W72,3)=0,$C72,0),$F72))))))</f>
        <v/>
      </c>
      <c r="P72" s="107" t="str">
        <f aca="false">IF($C72="","",IF(Dashboard!$C$4="Gemiddeld per maand",$F72,IF(OR($D72="Per maand",$D72="Per week",$D72=""),$F72,IF($D72="Per jaar",IF(6=$W72,$C72,0),IF($D72="Per half jaar",IF(MOD(6-$W72,6)=0,$C72,0),IF($D72="Per kwartaal",IF(MOD(6-$W72,3)=0,$C72,0),$F72))))))</f>
        <v/>
      </c>
      <c r="Q72" s="107" t="str">
        <f aca="false">IF($C72="","",IF(Dashboard!$C$4="Gemiddeld per maand",$F72,IF(OR($D72="Per maand",$D72="Per week",$D72=""),$F72,IF($D72="Per jaar",IF(7=$W72,$C72,0),IF($D72="Per half jaar",IF(MOD(7-$W72,6)=0,$C72,0),IF($D72="Per kwartaal",IF(MOD(7-$W72,3)=0,$C72,0),$F72))))))</f>
        <v/>
      </c>
      <c r="R72" s="107" t="str">
        <f aca="false">IF($C72="","",IF(Dashboard!$C$4="Gemiddeld per maand",$F72,IF(OR($D72="Per maand",$D72="Per week",$D72=""),$F72,IF($D72="Per jaar",IF(8=$W72,$C72,0),IF($D72="Per half jaar",IF(MOD(8-$W72,6)=0,$C72,0),IF($D72="Per kwartaal",IF(MOD(8-$W72,3)=0,$C72,0),$F72))))))</f>
        <v/>
      </c>
      <c r="S72" s="107" t="str">
        <f aca="false">IF($C72="","",IF(Dashboard!$C$4="Gemiddeld per maand",$F72,IF(OR($D72="Per maand",$D72="Per week",$D72=""),$F72,IF($D72="Per jaar",IF(9=$W72,$C72,0),IF($D72="Per half jaar",IF(MOD(9-$W72,6)=0,$C72,0),IF($D72="Per kwartaal",IF(MOD(9-$W72,3)=0,$C72,0),$F72))))))</f>
        <v/>
      </c>
      <c r="T72" s="107" t="str">
        <f aca="false">IF($C72="","",IF(Dashboard!$C$4="Gemiddeld per maand",$F72,IF(OR($D72="Per maand",$D72="Per week",$D72=""),$F72,IF($D72="Per jaar",IF(10=$W72,$C72,0),IF($D72="Per half jaar",IF(MOD(10-$W72,6)=0,$C72,0),IF($D72="Per kwartaal",IF(MOD(10-$W72,3)=0,$C72,0),$F72))))))</f>
        <v/>
      </c>
      <c r="U72" s="107" t="str">
        <f aca="false">IF($C72="","",IF(Dashboard!$C$4="Gemiddeld per maand",$F72,IF(OR($D72="Per maand",$D72="Per week",$D72=""),$F72,IF($D72="Per jaar",IF(11=$W72,$C72,0),IF($D72="Per half jaar",IF(MOD(11-$W72,6)=0,$C72,0),IF($D72="Per kwartaal",IF(MOD(11-$W72,3)=0,$C72,0),$F72))))))</f>
        <v/>
      </c>
      <c r="V72" s="107" t="str">
        <f aca="false">IF($C72="","",IF(Dashboard!$C$4="Gemiddeld per maand",$F72,IF(OR($D72="Per maand",$D72="Per week",$D72=""),$F72,IF($D72="Per jaar",IF(12=$W72,$C72,0),IF($D72="Per half jaar",IF(MOD(12-$W72,6)=0,$C72,0),IF($D72="Per kwartaal",IF(MOD(12-$W72,3)=0,$C72,0),$F72))))))</f>
        <v/>
      </c>
      <c r="W72" s="15" t="n">
        <f aca="false">IF($E72="",1,IFERROR(MATCH($E72,Lijsten!$K$6:$K$17,0),1))</f>
        <v>1</v>
      </c>
    </row>
    <row r="73" customFormat="false" ht="15" hidden="false" customHeight="false" outlineLevel="0" collapsed="false">
      <c r="A73" s="102"/>
      <c r="B73" s="102"/>
      <c r="C73" s="92"/>
      <c r="D73" s="102"/>
      <c r="E73" s="103"/>
      <c r="F73" s="104" t="str">
        <f aca="false">IF($C73="","",IF($D73="Per jaar",$C73/12,IF($D73="Per kwartaal",$C73/3,IF($D73="Per half jaar",$C73/6,IF($D73="Per week",$C73*52/12,$C73)))))</f>
        <v/>
      </c>
      <c r="G73" s="102"/>
      <c r="H73" s="103"/>
      <c r="I73" s="105"/>
      <c r="J73" s="106" t="str">
        <f aca="false">IF($C73="","",IF(Dashboard!$C$4="Gemiddeld per maand",$F73,IF(OR($D73="Per maand",$D73="Per week",$D73=""),$F73,IF($D73="Per jaar",IF(Dashboard!$N$2=$W73,$C73,0),IF($D73="Per half jaar",IF(MOD(Dashboard!$N$2-$W73,6)=0,$C73,0),IF($D73="Per kwartaal",IF(MOD(Dashboard!$N$2-$W73,3)=0,$C73,0),$F73))))))</f>
        <v/>
      </c>
      <c r="K73" s="107" t="str">
        <f aca="false">IF($C73="","",IF(Dashboard!$C$4="Gemiddeld per maand",$F73,IF(OR($D73="Per maand",$D73="Per week",$D73=""),$F73,IF($D73="Per jaar",IF(1=$W73,$C73,0),IF($D73="Per half jaar",IF(MOD(1-$W73,6)=0,$C73,0),IF($D73="Per kwartaal",IF(MOD(1-$W73,3)=0,$C73,0),$F73))))))</f>
        <v/>
      </c>
      <c r="L73" s="107" t="str">
        <f aca="false">IF($C73="","",IF(Dashboard!$C$4="Gemiddeld per maand",$F73,IF(OR($D73="Per maand",$D73="Per week",$D73=""),$F73,IF($D73="Per jaar",IF(2=$W73,$C73,0),IF($D73="Per half jaar",IF(MOD(2-$W73,6)=0,$C73,0),IF($D73="Per kwartaal",IF(MOD(2-$W73,3)=0,$C73,0),$F73))))))</f>
        <v/>
      </c>
      <c r="M73" s="107" t="str">
        <f aca="false">IF($C73="","",IF(Dashboard!$C$4="Gemiddeld per maand",$F73,IF(OR($D73="Per maand",$D73="Per week",$D73=""),$F73,IF($D73="Per jaar",IF(3=$W73,$C73,0),IF($D73="Per half jaar",IF(MOD(3-$W73,6)=0,$C73,0),IF($D73="Per kwartaal",IF(MOD(3-$W73,3)=0,$C73,0),$F73))))))</f>
        <v/>
      </c>
      <c r="N73" s="107" t="str">
        <f aca="false">IF($C73="","",IF(Dashboard!$C$4="Gemiddeld per maand",$F73,IF(OR($D73="Per maand",$D73="Per week",$D73=""),$F73,IF($D73="Per jaar",IF(4=$W73,$C73,0),IF($D73="Per half jaar",IF(MOD(4-$W73,6)=0,$C73,0),IF($D73="Per kwartaal",IF(MOD(4-$W73,3)=0,$C73,0),$F73))))))</f>
        <v/>
      </c>
      <c r="O73" s="107" t="str">
        <f aca="false">IF($C73="","",IF(Dashboard!$C$4="Gemiddeld per maand",$F73,IF(OR($D73="Per maand",$D73="Per week",$D73=""),$F73,IF($D73="Per jaar",IF(5=$W73,$C73,0),IF($D73="Per half jaar",IF(MOD(5-$W73,6)=0,$C73,0),IF($D73="Per kwartaal",IF(MOD(5-$W73,3)=0,$C73,0),$F73))))))</f>
        <v/>
      </c>
      <c r="P73" s="107" t="str">
        <f aca="false">IF($C73="","",IF(Dashboard!$C$4="Gemiddeld per maand",$F73,IF(OR($D73="Per maand",$D73="Per week",$D73=""),$F73,IF($D73="Per jaar",IF(6=$W73,$C73,0),IF($D73="Per half jaar",IF(MOD(6-$W73,6)=0,$C73,0),IF($D73="Per kwartaal",IF(MOD(6-$W73,3)=0,$C73,0),$F73))))))</f>
        <v/>
      </c>
      <c r="Q73" s="107" t="str">
        <f aca="false">IF($C73="","",IF(Dashboard!$C$4="Gemiddeld per maand",$F73,IF(OR($D73="Per maand",$D73="Per week",$D73=""),$F73,IF($D73="Per jaar",IF(7=$W73,$C73,0),IF($D73="Per half jaar",IF(MOD(7-$W73,6)=0,$C73,0),IF($D73="Per kwartaal",IF(MOD(7-$W73,3)=0,$C73,0),$F73))))))</f>
        <v/>
      </c>
      <c r="R73" s="107" t="str">
        <f aca="false">IF($C73="","",IF(Dashboard!$C$4="Gemiddeld per maand",$F73,IF(OR($D73="Per maand",$D73="Per week",$D73=""),$F73,IF($D73="Per jaar",IF(8=$W73,$C73,0),IF($D73="Per half jaar",IF(MOD(8-$W73,6)=0,$C73,0),IF($D73="Per kwartaal",IF(MOD(8-$W73,3)=0,$C73,0),$F73))))))</f>
        <v/>
      </c>
      <c r="S73" s="107" t="str">
        <f aca="false">IF($C73="","",IF(Dashboard!$C$4="Gemiddeld per maand",$F73,IF(OR($D73="Per maand",$D73="Per week",$D73=""),$F73,IF($D73="Per jaar",IF(9=$W73,$C73,0),IF($D73="Per half jaar",IF(MOD(9-$W73,6)=0,$C73,0),IF($D73="Per kwartaal",IF(MOD(9-$W73,3)=0,$C73,0),$F73))))))</f>
        <v/>
      </c>
      <c r="T73" s="107" t="str">
        <f aca="false">IF($C73="","",IF(Dashboard!$C$4="Gemiddeld per maand",$F73,IF(OR($D73="Per maand",$D73="Per week",$D73=""),$F73,IF($D73="Per jaar",IF(10=$W73,$C73,0),IF($D73="Per half jaar",IF(MOD(10-$W73,6)=0,$C73,0),IF($D73="Per kwartaal",IF(MOD(10-$W73,3)=0,$C73,0),$F73))))))</f>
        <v/>
      </c>
      <c r="U73" s="107" t="str">
        <f aca="false">IF($C73="","",IF(Dashboard!$C$4="Gemiddeld per maand",$F73,IF(OR($D73="Per maand",$D73="Per week",$D73=""),$F73,IF($D73="Per jaar",IF(11=$W73,$C73,0),IF($D73="Per half jaar",IF(MOD(11-$W73,6)=0,$C73,0),IF($D73="Per kwartaal",IF(MOD(11-$W73,3)=0,$C73,0),$F73))))))</f>
        <v/>
      </c>
      <c r="V73" s="107" t="str">
        <f aca="false">IF($C73="","",IF(Dashboard!$C$4="Gemiddeld per maand",$F73,IF(OR($D73="Per maand",$D73="Per week",$D73=""),$F73,IF($D73="Per jaar",IF(12=$W73,$C73,0),IF($D73="Per half jaar",IF(MOD(12-$W73,6)=0,$C73,0),IF($D73="Per kwartaal",IF(MOD(12-$W73,3)=0,$C73,0),$F73))))))</f>
        <v/>
      </c>
      <c r="W73" s="15" t="n">
        <f aca="false">IF($E73="",1,IFERROR(MATCH($E73,Lijsten!$K$6:$K$17,0),1))</f>
        <v>1</v>
      </c>
    </row>
    <row r="74" customFormat="false" ht="15" hidden="false" customHeight="false" outlineLevel="0" collapsed="false">
      <c r="A74" s="102"/>
      <c r="B74" s="102"/>
      <c r="C74" s="92"/>
      <c r="D74" s="102"/>
      <c r="E74" s="103"/>
      <c r="F74" s="104" t="str">
        <f aca="false">IF($C74="","",IF($D74="Per jaar",$C74/12,IF($D74="Per kwartaal",$C74/3,IF($D74="Per half jaar",$C74/6,IF($D74="Per week",$C74*52/12,$C74)))))</f>
        <v/>
      </c>
      <c r="G74" s="102"/>
      <c r="H74" s="103"/>
      <c r="I74" s="105"/>
      <c r="J74" s="106" t="str">
        <f aca="false">IF($C74="","",IF(Dashboard!$C$4="Gemiddeld per maand",$F74,IF(OR($D74="Per maand",$D74="Per week",$D74=""),$F74,IF($D74="Per jaar",IF(Dashboard!$N$2=$W74,$C74,0),IF($D74="Per half jaar",IF(MOD(Dashboard!$N$2-$W74,6)=0,$C74,0),IF($D74="Per kwartaal",IF(MOD(Dashboard!$N$2-$W74,3)=0,$C74,0),$F74))))))</f>
        <v/>
      </c>
      <c r="K74" s="107" t="str">
        <f aca="false">IF($C74="","",IF(Dashboard!$C$4="Gemiddeld per maand",$F74,IF(OR($D74="Per maand",$D74="Per week",$D74=""),$F74,IF($D74="Per jaar",IF(1=$W74,$C74,0),IF($D74="Per half jaar",IF(MOD(1-$W74,6)=0,$C74,0),IF($D74="Per kwartaal",IF(MOD(1-$W74,3)=0,$C74,0),$F74))))))</f>
        <v/>
      </c>
      <c r="L74" s="107" t="str">
        <f aca="false">IF($C74="","",IF(Dashboard!$C$4="Gemiddeld per maand",$F74,IF(OR($D74="Per maand",$D74="Per week",$D74=""),$F74,IF($D74="Per jaar",IF(2=$W74,$C74,0),IF($D74="Per half jaar",IF(MOD(2-$W74,6)=0,$C74,0),IF($D74="Per kwartaal",IF(MOD(2-$W74,3)=0,$C74,0),$F74))))))</f>
        <v/>
      </c>
      <c r="M74" s="107" t="str">
        <f aca="false">IF($C74="","",IF(Dashboard!$C$4="Gemiddeld per maand",$F74,IF(OR($D74="Per maand",$D74="Per week",$D74=""),$F74,IF($D74="Per jaar",IF(3=$W74,$C74,0),IF($D74="Per half jaar",IF(MOD(3-$W74,6)=0,$C74,0),IF($D74="Per kwartaal",IF(MOD(3-$W74,3)=0,$C74,0),$F74))))))</f>
        <v/>
      </c>
      <c r="N74" s="107" t="str">
        <f aca="false">IF($C74="","",IF(Dashboard!$C$4="Gemiddeld per maand",$F74,IF(OR($D74="Per maand",$D74="Per week",$D74=""),$F74,IF($D74="Per jaar",IF(4=$W74,$C74,0),IF($D74="Per half jaar",IF(MOD(4-$W74,6)=0,$C74,0),IF($D74="Per kwartaal",IF(MOD(4-$W74,3)=0,$C74,0),$F74))))))</f>
        <v/>
      </c>
      <c r="O74" s="107" t="str">
        <f aca="false">IF($C74="","",IF(Dashboard!$C$4="Gemiddeld per maand",$F74,IF(OR($D74="Per maand",$D74="Per week",$D74=""),$F74,IF($D74="Per jaar",IF(5=$W74,$C74,0),IF($D74="Per half jaar",IF(MOD(5-$W74,6)=0,$C74,0),IF($D74="Per kwartaal",IF(MOD(5-$W74,3)=0,$C74,0),$F74))))))</f>
        <v/>
      </c>
      <c r="P74" s="107" t="str">
        <f aca="false">IF($C74="","",IF(Dashboard!$C$4="Gemiddeld per maand",$F74,IF(OR($D74="Per maand",$D74="Per week",$D74=""),$F74,IF($D74="Per jaar",IF(6=$W74,$C74,0),IF($D74="Per half jaar",IF(MOD(6-$W74,6)=0,$C74,0),IF($D74="Per kwartaal",IF(MOD(6-$W74,3)=0,$C74,0),$F74))))))</f>
        <v/>
      </c>
      <c r="Q74" s="107" t="str">
        <f aca="false">IF($C74="","",IF(Dashboard!$C$4="Gemiddeld per maand",$F74,IF(OR($D74="Per maand",$D74="Per week",$D74=""),$F74,IF($D74="Per jaar",IF(7=$W74,$C74,0),IF($D74="Per half jaar",IF(MOD(7-$W74,6)=0,$C74,0),IF($D74="Per kwartaal",IF(MOD(7-$W74,3)=0,$C74,0),$F74))))))</f>
        <v/>
      </c>
      <c r="R74" s="107" t="str">
        <f aca="false">IF($C74="","",IF(Dashboard!$C$4="Gemiddeld per maand",$F74,IF(OR($D74="Per maand",$D74="Per week",$D74=""),$F74,IF($D74="Per jaar",IF(8=$W74,$C74,0),IF($D74="Per half jaar",IF(MOD(8-$W74,6)=0,$C74,0),IF($D74="Per kwartaal",IF(MOD(8-$W74,3)=0,$C74,0),$F74))))))</f>
        <v/>
      </c>
      <c r="S74" s="107" t="str">
        <f aca="false">IF($C74="","",IF(Dashboard!$C$4="Gemiddeld per maand",$F74,IF(OR($D74="Per maand",$D74="Per week",$D74=""),$F74,IF($D74="Per jaar",IF(9=$W74,$C74,0),IF($D74="Per half jaar",IF(MOD(9-$W74,6)=0,$C74,0),IF($D74="Per kwartaal",IF(MOD(9-$W74,3)=0,$C74,0),$F74))))))</f>
        <v/>
      </c>
      <c r="T74" s="107" t="str">
        <f aca="false">IF($C74="","",IF(Dashboard!$C$4="Gemiddeld per maand",$F74,IF(OR($D74="Per maand",$D74="Per week",$D74=""),$F74,IF($D74="Per jaar",IF(10=$W74,$C74,0),IF($D74="Per half jaar",IF(MOD(10-$W74,6)=0,$C74,0),IF($D74="Per kwartaal",IF(MOD(10-$W74,3)=0,$C74,0),$F74))))))</f>
        <v/>
      </c>
      <c r="U74" s="107" t="str">
        <f aca="false">IF($C74="","",IF(Dashboard!$C$4="Gemiddeld per maand",$F74,IF(OR($D74="Per maand",$D74="Per week",$D74=""),$F74,IF($D74="Per jaar",IF(11=$W74,$C74,0),IF($D74="Per half jaar",IF(MOD(11-$W74,6)=0,$C74,0),IF($D74="Per kwartaal",IF(MOD(11-$W74,3)=0,$C74,0),$F74))))))</f>
        <v/>
      </c>
      <c r="V74" s="107" t="str">
        <f aca="false">IF($C74="","",IF(Dashboard!$C$4="Gemiddeld per maand",$F74,IF(OR($D74="Per maand",$D74="Per week",$D74=""),$F74,IF($D74="Per jaar",IF(12=$W74,$C74,0),IF($D74="Per half jaar",IF(MOD(12-$W74,6)=0,$C74,0),IF($D74="Per kwartaal",IF(MOD(12-$W74,3)=0,$C74,0),$F74))))))</f>
        <v/>
      </c>
      <c r="W74" s="15" t="n">
        <f aca="false">IF($E74="",1,IFERROR(MATCH($E74,Lijsten!$K$6:$K$17,0),1))</f>
        <v>1</v>
      </c>
    </row>
    <row r="75" customFormat="false" ht="15" hidden="false" customHeight="false" outlineLevel="0" collapsed="false">
      <c r="A75" s="102"/>
      <c r="B75" s="102"/>
      <c r="C75" s="92"/>
      <c r="D75" s="102"/>
      <c r="E75" s="103"/>
      <c r="F75" s="104" t="str">
        <f aca="false">IF($C75="","",IF($D75="Per jaar",$C75/12,IF($D75="Per kwartaal",$C75/3,IF($D75="Per half jaar",$C75/6,IF($D75="Per week",$C75*52/12,$C75)))))</f>
        <v/>
      </c>
      <c r="G75" s="102"/>
      <c r="H75" s="103"/>
      <c r="I75" s="105"/>
      <c r="J75" s="106" t="str">
        <f aca="false">IF($C75="","",IF(Dashboard!$C$4="Gemiddeld per maand",$F75,IF(OR($D75="Per maand",$D75="Per week",$D75=""),$F75,IF($D75="Per jaar",IF(Dashboard!$N$2=$W75,$C75,0),IF($D75="Per half jaar",IF(MOD(Dashboard!$N$2-$W75,6)=0,$C75,0),IF($D75="Per kwartaal",IF(MOD(Dashboard!$N$2-$W75,3)=0,$C75,0),$F75))))))</f>
        <v/>
      </c>
      <c r="K75" s="107" t="str">
        <f aca="false">IF($C75="","",IF(Dashboard!$C$4="Gemiddeld per maand",$F75,IF(OR($D75="Per maand",$D75="Per week",$D75=""),$F75,IF($D75="Per jaar",IF(1=$W75,$C75,0),IF($D75="Per half jaar",IF(MOD(1-$W75,6)=0,$C75,0),IF($D75="Per kwartaal",IF(MOD(1-$W75,3)=0,$C75,0),$F75))))))</f>
        <v/>
      </c>
      <c r="L75" s="107" t="str">
        <f aca="false">IF($C75="","",IF(Dashboard!$C$4="Gemiddeld per maand",$F75,IF(OR($D75="Per maand",$D75="Per week",$D75=""),$F75,IF($D75="Per jaar",IF(2=$W75,$C75,0),IF($D75="Per half jaar",IF(MOD(2-$W75,6)=0,$C75,0),IF($D75="Per kwartaal",IF(MOD(2-$W75,3)=0,$C75,0),$F75))))))</f>
        <v/>
      </c>
      <c r="M75" s="107" t="str">
        <f aca="false">IF($C75="","",IF(Dashboard!$C$4="Gemiddeld per maand",$F75,IF(OR($D75="Per maand",$D75="Per week",$D75=""),$F75,IF($D75="Per jaar",IF(3=$W75,$C75,0),IF($D75="Per half jaar",IF(MOD(3-$W75,6)=0,$C75,0),IF($D75="Per kwartaal",IF(MOD(3-$W75,3)=0,$C75,0),$F75))))))</f>
        <v/>
      </c>
      <c r="N75" s="107" t="str">
        <f aca="false">IF($C75="","",IF(Dashboard!$C$4="Gemiddeld per maand",$F75,IF(OR($D75="Per maand",$D75="Per week",$D75=""),$F75,IF($D75="Per jaar",IF(4=$W75,$C75,0),IF($D75="Per half jaar",IF(MOD(4-$W75,6)=0,$C75,0),IF($D75="Per kwartaal",IF(MOD(4-$W75,3)=0,$C75,0),$F75))))))</f>
        <v/>
      </c>
      <c r="O75" s="107" t="str">
        <f aca="false">IF($C75="","",IF(Dashboard!$C$4="Gemiddeld per maand",$F75,IF(OR($D75="Per maand",$D75="Per week",$D75=""),$F75,IF($D75="Per jaar",IF(5=$W75,$C75,0),IF($D75="Per half jaar",IF(MOD(5-$W75,6)=0,$C75,0),IF($D75="Per kwartaal",IF(MOD(5-$W75,3)=0,$C75,0),$F75))))))</f>
        <v/>
      </c>
      <c r="P75" s="107" t="str">
        <f aca="false">IF($C75="","",IF(Dashboard!$C$4="Gemiddeld per maand",$F75,IF(OR($D75="Per maand",$D75="Per week",$D75=""),$F75,IF($D75="Per jaar",IF(6=$W75,$C75,0),IF($D75="Per half jaar",IF(MOD(6-$W75,6)=0,$C75,0),IF($D75="Per kwartaal",IF(MOD(6-$W75,3)=0,$C75,0),$F75))))))</f>
        <v/>
      </c>
      <c r="Q75" s="107" t="str">
        <f aca="false">IF($C75="","",IF(Dashboard!$C$4="Gemiddeld per maand",$F75,IF(OR($D75="Per maand",$D75="Per week",$D75=""),$F75,IF($D75="Per jaar",IF(7=$W75,$C75,0),IF($D75="Per half jaar",IF(MOD(7-$W75,6)=0,$C75,0),IF($D75="Per kwartaal",IF(MOD(7-$W75,3)=0,$C75,0),$F75))))))</f>
        <v/>
      </c>
      <c r="R75" s="107" t="str">
        <f aca="false">IF($C75="","",IF(Dashboard!$C$4="Gemiddeld per maand",$F75,IF(OR($D75="Per maand",$D75="Per week",$D75=""),$F75,IF($D75="Per jaar",IF(8=$W75,$C75,0),IF($D75="Per half jaar",IF(MOD(8-$W75,6)=0,$C75,0),IF($D75="Per kwartaal",IF(MOD(8-$W75,3)=0,$C75,0),$F75))))))</f>
        <v/>
      </c>
      <c r="S75" s="107" t="str">
        <f aca="false">IF($C75="","",IF(Dashboard!$C$4="Gemiddeld per maand",$F75,IF(OR($D75="Per maand",$D75="Per week",$D75=""),$F75,IF($D75="Per jaar",IF(9=$W75,$C75,0),IF($D75="Per half jaar",IF(MOD(9-$W75,6)=0,$C75,0),IF($D75="Per kwartaal",IF(MOD(9-$W75,3)=0,$C75,0),$F75))))))</f>
        <v/>
      </c>
      <c r="T75" s="107" t="str">
        <f aca="false">IF($C75="","",IF(Dashboard!$C$4="Gemiddeld per maand",$F75,IF(OR($D75="Per maand",$D75="Per week",$D75=""),$F75,IF($D75="Per jaar",IF(10=$W75,$C75,0),IF($D75="Per half jaar",IF(MOD(10-$W75,6)=0,$C75,0),IF($D75="Per kwartaal",IF(MOD(10-$W75,3)=0,$C75,0),$F75))))))</f>
        <v/>
      </c>
      <c r="U75" s="107" t="str">
        <f aca="false">IF($C75="","",IF(Dashboard!$C$4="Gemiddeld per maand",$F75,IF(OR($D75="Per maand",$D75="Per week",$D75=""),$F75,IF($D75="Per jaar",IF(11=$W75,$C75,0),IF($D75="Per half jaar",IF(MOD(11-$W75,6)=0,$C75,0),IF($D75="Per kwartaal",IF(MOD(11-$W75,3)=0,$C75,0),$F75))))))</f>
        <v/>
      </c>
      <c r="V75" s="107" t="str">
        <f aca="false">IF($C75="","",IF(Dashboard!$C$4="Gemiddeld per maand",$F75,IF(OR($D75="Per maand",$D75="Per week",$D75=""),$F75,IF($D75="Per jaar",IF(12=$W75,$C75,0),IF($D75="Per half jaar",IF(MOD(12-$W75,6)=0,$C75,0),IF($D75="Per kwartaal",IF(MOD(12-$W75,3)=0,$C75,0),$F75))))))</f>
        <v/>
      </c>
      <c r="W75" s="15" t="n">
        <f aca="false">IF($E75="",1,IFERROR(MATCH($E75,Lijsten!$K$6:$K$17,0),1))</f>
        <v>1</v>
      </c>
    </row>
    <row r="76" customFormat="false" ht="15" hidden="false" customHeight="false" outlineLevel="0" collapsed="false">
      <c r="A76" s="102"/>
      <c r="B76" s="102"/>
      <c r="C76" s="92"/>
      <c r="D76" s="102"/>
      <c r="E76" s="103"/>
      <c r="F76" s="104" t="str">
        <f aca="false">IF($C76="","",IF($D76="Per jaar",$C76/12,IF($D76="Per kwartaal",$C76/3,IF($D76="Per half jaar",$C76/6,IF($D76="Per week",$C76*52/12,$C76)))))</f>
        <v/>
      </c>
      <c r="G76" s="102"/>
      <c r="H76" s="103"/>
      <c r="I76" s="105"/>
      <c r="J76" s="106" t="str">
        <f aca="false">IF($C76="","",IF(Dashboard!$C$4="Gemiddeld per maand",$F76,IF(OR($D76="Per maand",$D76="Per week",$D76=""),$F76,IF($D76="Per jaar",IF(Dashboard!$N$2=$W76,$C76,0),IF($D76="Per half jaar",IF(MOD(Dashboard!$N$2-$W76,6)=0,$C76,0),IF($D76="Per kwartaal",IF(MOD(Dashboard!$N$2-$W76,3)=0,$C76,0),$F76))))))</f>
        <v/>
      </c>
      <c r="K76" s="107" t="str">
        <f aca="false">IF($C76="","",IF(Dashboard!$C$4="Gemiddeld per maand",$F76,IF(OR($D76="Per maand",$D76="Per week",$D76=""),$F76,IF($D76="Per jaar",IF(1=$W76,$C76,0),IF($D76="Per half jaar",IF(MOD(1-$W76,6)=0,$C76,0),IF($D76="Per kwartaal",IF(MOD(1-$W76,3)=0,$C76,0),$F76))))))</f>
        <v/>
      </c>
      <c r="L76" s="107" t="str">
        <f aca="false">IF($C76="","",IF(Dashboard!$C$4="Gemiddeld per maand",$F76,IF(OR($D76="Per maand",$D76="Per week",$D76=""),$F76,IF($D76="Per jaar",IF(2=$W76,$C76,0),IF($D76="Per half jaar",IF(MOD(2-$W76,6)=0,$C76,0),IF($D76="Per kwartaal",IF(MOD(2-$W76,3)=0,$C76,0),$F76))))))</f>
        <v/>
      </c>
      <c r="M76" s="107" t="str">
        <f aca="false">IF($C76="","",IF(Dashboard!$C$4="Gemiddeld per maand",$F76,IF(OR($D76="Per maand",$D76="Per week",$D76=""),$F76,IF($D76="Per jaar",IF(3=$W76,$C76,0),IF($D76="Per half jaar",IF(MOD(3-$W76,6)=0,$C76,0),IF($D76="Per kwartaal",IF(MOD(3-$W76,3)=0,$C76,0),$F76))))))</f>
        <v/>
      </c>
      <c r="N76" s="107" t="str">
        <f aca="false">IF($C76="","",IF(Dashboard!$C$4="Gemiddeld per maand",$F76,IF(OR($D76="Per maand",$D76="Per week",$D76=""),$F76,IF($D76="Per jaar",IF(4=$W76,$C76,0),IF($D76="Per half jaar",IF(MOD(4-$W76,6)=0,$C76,0),IF($D76="Per kwartaal",IF(MOD(4-$W76,3)=0,$C76,0),$F76))))))</f>
        <v/>
      </c>
      <c r="O76" s="107" t="str">
        <f aca="false">IF($C76="","",IF(Dashboard!$C$4="Gemiddeld per maand",$F76,IF(OR($D76="Per maand",$D76="Per week",$D76=""),$F76,IF($D76="Per jaar",IF(5=$W76,$C76,0),IF($D76="Per half jaar",IF(MOD(5-$W76,6)=0,$C76,0),IF($D76="Per kwartaal",IF(MOD(5-$W76,3)=0,$C76,0),$F76))))))</f>
        <v/>
      </c>
      <c r="P76" s="107" t="str">
        <f aca="false">IF($C76="","",IF(Dashboard!$C$4="Gemiddeld per maand",$F76,IF(OR($D76="Per maand",$D76="Per week",$D76=""),$F76,IF($D76="Per jaar",IF(6=$W76,$C76,0),IF($D76="Per half jaar",IF(MOD(6-$W76,6)=0,$C76,0),IF($D76="Per kwartaal",IF(MOD(6-$W76,3)=0,$C76,0),$F76))))))</f>
        <v/>
      </c>
      <c r="Q76" s="107" t="str">
        <f aca="false">IF($C76="","",IF(Dashboard!$C$4="Gemiddeld per maand",$F76,IF(OR($D76="Per maand",$D76="Per week",$D76=""),$F76,IF($D76="Per jaar",IF(7=$W76,$C76,0),IF($D76="Per half jaar",IF(MOD(7-$W76,6)=0,$C76,0),IF($D76="Per kwartaal",IF(MOD(7-$W76,3)=0,$C76,0),$F76))))))</f>
        <v/>
      </c>
      <c r="R76" s="107" t="str">
        <f aca="false">IF($C76="","",IF(Dashboard!$C$4="Gemiddeld per maand",$F76,IF(OR($D76="Per maand",$D76="Per week",$D76=""),$F76,IF($D76="Per jaar",IF(8=$W76,$C76,0),IF($D76="Per half jaar",IF(MOD(8-$W76,6)=0,$C76,0),IF($D76="Per kwartaal",IF(MOD(8-$W76,3)=0,$C76,0),$F76))))))</f>
        <v/>
      </c>
      <c r="S76" s="107" t="str">
        <f aca="false">IF($C76="","",IF(Dashboard!$C$4="Gemiddeld per maand",$F76,IF(OR($D76="Per maand",$D76="Per week",$D76=""),$F76,IF($D76="Per jaar",IF(9=$W76,$C76,0),IF($D76="Per half jaar",IF(MOD(9-$W76,6)=0,$C76,0),IF($D76="Per kwartaal",IF(MOD(9-$W76,3)=0,$C76,0),$F76))))))</f>
        <v/>
      </c>
      <c r="T76" s="107" t="str">
        <f aca="false">IF($C76="","",IF(Dashboard!$C$4="Gemiddeld per maand",$F76,IF(OR($D76="Per maand",$D76="Per week",$D76=""),$F76,IF($D76="Per jaar",IF(10=$W76,$C76,0),IF($D76="Per half jaar",IF(MOD(10-$W76,6)=0,$C76,0),IF($D76="Per kwartaal",IF(MOD(10-$W76,3)=0,$C76,0),$F76))))))</f>
        <v/>
      </c>
      <c r="U76" s="107" t="str">
        <f aca="false">IF($C76="","",IF(Dashboard!$C$4="Gemiddeld per maand",$F76,IF(OR($D76="Per maand",$D76="Per week",$D76=""),$F76,IF($D76="Per jaar",IF(11=$W76,$C76,0),IF($D76="Per half jaar",IF(MOD(11-$W76,6)=0,$C76,0),IF($D76="Per kwartaal",IF(MOD(11-$W76,3)=0,$C76,0),$F76))))))</f>
        <v/>
      </c>
      <c r="V76" s="107" t="str">
        <f aca="false">IF($C76="","",IF(Dashboard!$C$4="Gemiddeld per maand",$F76,IF(OR($D76="Per maand",$D76="Per week",$D76=""),$F76,IF($D76="Per jaar",IF(12=$W76,$C76,0),IF($D76="Per half jaar",IF(MOD(12-$W76,6)=0,$C76,0),IF($D76="Per kwartaal",IF(MOD(12-$W76,3)=0,$C76,0),$F76))))))</f>
        <v/>
      </c>
      <c r="W76" s="15" t="n">
        <f aca="false">IF($E76="",1,IFERROR(MATCH($E76,Lijsten!$K$6:$K$17,0),1))</f>
        <v>1</v>
      </c>
    </row>
    <row r="77" customFormat="false" ht="15" hidden="false" customHeight="false" outlineLevel="0" collapsed="false">
      <c r="A77" s="102"/>
      <c r="B77" s="102"/>
      <c r="C77" s="92"/>
      <c r="D77" s="102"/>
      <c r="E77" s="103"/>
      <c r="F77" s="104" t="str">
        <f aca="false">IF($C77="","",IF($D77="Per jaar",$C77/12,IF($D77="Per kwartaal",$C77/3,IF($D77="Per half jaar",$C77/6,IF($D77="Per week",$C77*52/12,$C77)))))</f>
        <v/>
      </c>
      <c r="G77" s="102"/>
      <c r="H77" s="103"/>
      <c r="I77" s="105"/>
      <c r="J77" s="106" t="str">
        <f aca="false">IF($C77="","",IF(Dashboard!$C$4="Gemiddeld per maand",$F77,IF(OR($D77="Per maand",$D77="Per week",$D77=""),$F77,IF($D77="Per jaar",IF(Dashboard!$N$2=$W77,$C77,0),IF($D77="Per half jaar",IF(MOD(Dashboard!$N$2-$W77,6)=0,$C77,0),IF($D77="Per kwartaal",IF(MOD(Dashboard!$N$2-$W77,3)=0,$C77,0),$F77))))))</f>
        <v/>
      </c>
      <c r="K77" s="107" t="str">
        <f aca="false">IF($C77="","",IF(Dashboard!$C$4="Gemiddeld per maand",$F77,IF(OR($D77="Per maand",$D77="Per week",$D77=""),$F77,IF($D77="Per jaar",IF(1=$W77,$C77,0),IF($D77="Per half jaar",IF(MOD(1-$W77,6)=0,$C77,0),IF($D77="Per kwartaal",IF(MOD(1-$W77,3)=0,$C77,0),$F77))))))</f>
        <v/>
      </c>
      <c r="L77" s="107" t="str">
        <f aca="false">IF($C77="","",IF(Dashboard!$C$4="Gemiddeld per maand",$F77,IF(OR($D77="Per maand",$D77="Per week",$D77=""),$F77,IF($D77="Per jaar",IF(2=$W77,$C77,0),IF($D77="Per half jaar",IF(MOD(2-$W77,6)=0,$C77,0),IF($D77="Per kwartaal",IF(MOD(2-$W77,3)=0,$C77,0),$F77))))))</f>
        <v/>
      </c>
      <c r="M77" s="107" t="str">
        <f aca="false">IF($C77="","",IF(Dashboard!$C$4="Gemiddeld per maand",$F77,IF(OR($D77="Per maand",$D77="Per week",$D77=""),$F77,IF($D77="Per jaar",IF(3=$W77,$C77,0),IF($D77="Per half jaar",IF(MOD(3-$W77,6)=0,$C77,0),IF($D77="Per kwartaal",IF(MOD(3-$W77,3)=0,$C77,0),$F77))))))</f>
        <v/>
      </c>
      <c r="N77" s="107" t="str">
        <f aca="false">IF($C77="","",IF(Dashboard!$C$4="Gemiddeld per maand",$F77,IF(OR($D77="Per maand",$D77="Per week",$D77=""),$F77,IF($D77="Per jaar",IF(4=$W77,$C77,0),IF($D77="Per half jaar",IF(MOD(4-$W77,6)=0,$C77,0),IF($D77="Per kwartaal",IF(MOD(4-$W77,3)=0,$C77,0),$F77))))))</f>
        <v/>
      </c>
      <c r="O77" s="107" t="str">
        <f aca="false">IF($C77="","",IF(Dashboard!$C$4="Gemiddeld per maand",$F77,IF(OR($D77="Per maand",$D77="Per week",$D77=""),$F77,IF($D77="Per jaar",IF(5=$W77,$C77,0),IF($D77="Per half jaar",IF(MOD(5-$W77,6)=0,$C77,0),IF($D77="Per kwartaal",IF(MOD(5-$W77,3)=0,$C77,0),$F77))))))</f>
        <v/>
      </c>
      <c r="P77" s="107" t="str">
        <f aca="false">IF($C77="","",IF(Dashboard!$C$4="Gemiddeld per maand",$F77,IF(OR($D77="Per maand",$D77="Per week",$D77=""),$F77,IF($D77="Per jaar",IF(6=$W77,$C77,0),IF($D77="Per half jaar",IF(MOD(6-$W77,6)=0,$C77,0),IF($D77="Per kwartaal",IF(MOD(6-$W77,3)=0,$C77,0),$F77))))))</f>
        <v/>
      </c>
      <c r="Q77" s="107" t="str">
        <f aca="false">IF($C77="","",IF(Dashboard!$C$4="Gemiddeld per maand",$F77,IF(OR($D77="Per maand",$D77="Per week",$D77=""),$F77,IF($D77="Per jaar",IF(7=$W77,$C77,0),IF($D77="Per half jaar",IF(MOD(7-$W77,6)=0,$C77,0),IF($D77="Per kwartaal",IF(MOD(7-$W77,3)=0,$C77,0),$F77))))))</f>
        <v/>
      </c>
      <c r="R77" s="107" t="str">
        <f aca="false">IF($C77="","",IF(Dashboard!$C$4="Gemiddeld per maand",$F77,IF(OR($D77="Per maand",$D77="Per week",$D77=""),$F77,IF($D77="Per jaar",IF(8=$W77,$C77,0),IF($D77="Per half jaar",IF(MOD(8-$W77,6)=0,$C77,0),IF($D77="Per kwartaal",IF(MOD(8-$W77,3)=0,$C77,0),$F77))))))</f>
        <v/>
      </c>
      <c r="S77" s="107" t="str">
        <f aca="false">IF($C77="","",IF(Dashboard!$C$4="Gemiddeld per maand",$F77,IF(OR($D77="Per maand",$D77="Per week",$D77=""),$F77,IF($D77="Per jaar",IF(9=$W77,$C77,0),IF($D77="Per half jaar",IF(MOD(9-$W77,6)=0,$C77,0),IF($D77="Per kwartaal",IF(MOD(9-$W77,3)=0,$C77,0),$F77))))))</f>
        <v/>
      </c>
      <c r="T77" s="107" t="str">
        <f aca="false">IF($C77="","",IF(Dashboard!$C$4="Gemiddeld per maand",$F77,IF(OR($D77="Per maand",$D77="Per week",$D77=""),$F77,IF($D77="Per jaar",IF(10=$W77,$C77,0),IF($D77="Per half jaar",IF(MOD(10-$W77,6)=0,$C77,0),IF($D77="Per kwartaal",IF(MOD(10-$W77,3)=0,$C77,0),$F77))))))</f>
        <v/>
      </c>
      <c r="U77" s="107" t="str">
        <f aca="false">IF($C77="","",IF(Dashboard!$C$4="Gemiddeld per maand",$F77,IF(OR($D77="Per maand",$D77="Per week",$D77=""),$F77,IF($D77="Per jaar",IF(11=$W77,$C77,0),IF($D77="Per half jaar",IF(MOD(11-$W77,6)=0,$C77,0),IF($D77="Per kwartaal",IF(MOD(11-$W77,3)=0,$C77,0),$F77))))))</f>
        <v/>
      </c>
      <c r="V77" s="107" t="str">
        <f aca="false">IF($C77="","",IF(Dashboard!$C$4="Gemiddeld per maand",$F77,IF(OR($D77="Per maand",$D77="Per week",$D77=""),$F77,IF($D77="Per jaar",IF(12=$W77,$C77,0),IF($D77="Per half jaar",IF(MOD(12-$W77,6)=0,$C77,0),IF($D77="Per kwartaal",IF(MOD(12-$W77,3)=0,$C77,0),$F77))))))</f>
        <v/>
      </c>
      <c r="W77" s="15" t="n">
        <f aca="false">IF($E77="",1,IFERROR(MATCH($E77,Lijsten!$K$6:$K$17,0),1))</f>
        <v>1</v>
      </c>
    </row>
    <row r="78" customFormat="false" ht="15" hidden="false" customHeight="false" outlineLevel="0" collapsed="false">
      <c r="A78" s="102"/>
      <c r="B78" s="102"/>
      <c r="C78" s="92"/>
      <c r="D78" s="102"/>
      <c r="E78" s="103"/>
      <c r="F78" s="104" t="str">
        <f aca="false">IF($C78="","",IF($D78="Per jaar",$C78/12,IF($D78="Per kwartaal",$C78/3,IF($D78="Per half jaar",$C78/6,IF($D78="Per week",$C78*52/12,$C78)))))</f>
        <v/>
      </c>
      <c r="G78" s="102"/>
      <c r="H78" s="103"/>
      <c r="I78" s="105"/>
      <c r="J78" s="106" t="str">
        <f aca="false">IF($C78="","",IF(Dashboard!$C$4="Gemiddeld per maand",$F78,IF(OR($D78="Per maand",$D78="Per week",$D78=""),$F78,IF($D78="Per jaar",IF(Dashboard!$N$2=$W78,$C78,0),IF($D78="Per half jaar",IF(MOD(Dashboard!$N$2-$W78,6)=0,$C78,0),IF($D78="Per kwartaal",IF(MOD(Dashboard!$N$2-$W78,3)=0,$C78,0),$F78))))))</f>
        <v/>
      </c>
      <c r="K78" s="107" t="str">
        <f aca="false">IF($C78="","",IF(Dashboard!$C$4="Gemiddeld per maand",$F78,IF(OR($D78="Per maand",$D78="Per week",$D78=""),$F78,IF($D78="Per jaar",IF(1=$W78,$C78,0),IF($D78="Per half jaar",IF(MOD(1-$W78,6)=0,$C78,0),IF($D78="Per kwartaal",IF(MOD(1-$W78,3)=0,$C78,0),$F78))))))</f>
        <v/>
      </c>
      <c r="L78" s="107" t="str">
        <f aca="false">IF($C78="","",IF(Dashboard!$C$4="Gemiddeld per maand",$F78,IF(OR($D78="Per maand",$D78="Per week",$D78=""),$F78,IF($D78="Per jaar",IF(2=$W78,$C78,0),IF($D78="Per half jaar",IF(MOD(2-$W78,6)=0,$C78,0),IF($D78="Per kwartaal",IF(MOD(2-$W78,3)=0,$C78,0),$F78))))))</f>
        <v/>
      </c>
      <c r="M78" s="107" t="str">
        <f aca="false">IF($C78="","",IF(Dashboard!$C$4="Gemiddeld per maand",$F78,IF(OR($D78="Per maand",$D78="Per week",$D78=""),$F78,IF($D78="Per jaar",IF(3=$W78,$C78,0),IF($D78="Per half jaar",IF(MOD(3-$W78,6)=0,$C78,0),IF($D78="Per kwartaal",IF(MOD(3-$W78,3)=0,$C78,0),$F78))))))</f>
        <v/>
      </c>
      <c r="N78" s="107" t="str">
        <f aca="false">IF($C78="","",IF(Dashboard!$C$4="Gemiddeld per maand",$F78,IF(OR($D78="Per maand",$D78="Per week",$D78=""),$F78,IF($D78="Per jaar",IF(4=$W78,$C78,0),IF($D78="Per half jaar",IF(MOD(4-$W78,6)=0,$C78,0),IF($D78="Per kwartaal",IF(MOD(4-$W78,3)=0,$C78,0),$F78))))))</f>
        <v/>
      </c>
      <c r="O78" s="107" t="str">
        <f aca="false">IF($C78="","",IF(Dashboard!$C$4="Gemiddeld per maand",$F78,IF(OR($D78="Per maand",$D78="Per week",$D78=""),$F78,IF($D78="Per jaar",IF(5=$W78,$C78,0),IF($D78="Per half jaar",IF(MOD(5-$W78,6)=0,$C78,0),IF($D78="Per kwartaal",IF(MOD(5-$W78,3)=0,$C78,0),$F78))))))</f>
        <v/>
      </c>
      <c r="P78" s="107" t="str">
        <f aca="false">IF($C78="","",IF(Dashboard!$C$4="Gemiddeld per maand",$F78,IF(OR($D78="Per maand",$D78="Per week",$D78=""),$F78,IF($D78="Per jaar",IF(6=$W78,$C78,0),IF($D78="Per half jaar",IF(MOD(6-$W78,6)=0,$C78,0),IF($D78="Per kwartaal",IF(MOD(6-$W78,3)=0,$C78,0),$F78))))))</f>
        <v/>
      </c>
      <c r="Q78" s="107" t="str">
        <f aca="false">IF($C78="","",IF(Dashboard!$C$4="Gemiddeld per maand",$F78,IF(OR($D78="Per maand",$D78="Per week",$D78=""),$F78,IF($D78="Per jaar",IF(7=$W78,$C78,0),IF($D78="Per half jaar",IF(MOD(7-$W78,6)=0,$C78,0),IF($D78="Per kwartaal",IF(MOD(7-$W78,3)=0,$C78,0),$F78))))))</f>
        <v/>
      </c>
      <c r="R78" s="107" t="str">
        <f aca="false">IF($C78="","",IF(Dashboard!$C$4="Gemiddeld per maand",$F78,IF(OR($D78="Per maand",$D78="Per week",$D78=""),$F78,IF($D78="Per jaar",IF(8=$W78,$C78,0),IF($D78="Per half jaar",IF(MOD(8-$W78,6)=0,$C78,0),IF($D78="Per kwartaal",IF(MOD(8-$W78,3)=0,$C78,0),$F78))))))</f>
        <v/>
      </c>
      <c r="S78" s="107" t="str">
        <f aca="false">IF($C78="","",IF(Dashboard!$C$4="Gemiddeld per maand",$F78,IF(OR($D78="Per maand",$D78="Per week",$D78=""),$F78,IF($D78="Per jaar",IF(9=$W78,$C78,0),IF($D78="Per half jaar",IF(MOD(9-$W78,6)=0,$C78,0),IF($D78="Per kwartaal",IF(MOD(9-$W78,3)=0,$C78,0),$F78))))))</f>
        <v/>
      </c>
      <c r="T78" s="107" t="str">
        <f aca="false">IF($C78="","",IF(Dashboard!$C$4="Gemiddeld per maand",$F78,IF(OR($D78="Per maand",$D78="Per week",$D78=""),$F78,IF($D78="Per jaar",IF(10=$W78,$C78,0),IF($D78="Per half jaar",IF(MOD(10-$W78,6)=0,$C78,0),IF($D78="Per kwartaal",IF(MOD(10-$W78,3)=0,$C78,0),$F78))))))</f>
        <v/>
      </c>
      <c r="U78" s="107" t="str">
        <f aca="false">IF($C78="","",IF(Dashboard!$C$4="Gemiddeld per maand",$F78,IF(OR($D78="Per maand",$D78="Per week",$D78=""),$F78,IF($D78="Per jaar",IF(11=$W78,$C78,0),IF($D78="Per half jaar",IF(MOD(11-$W78,6)=0,$C78,0),IF($D78="Per kwartaal",IF(MOD(11-$W78,3)=0,$C78,0),$F78))))))</f>
        <v/>
      </c>
      <c r="V78" s="107" t="str">
        <f aca="false">IF($C78="","",IF(Dashboard!$C$4="Gemiddeld per maand",$F78,IF(OR($D78="Per maand",$D78="Per week",$D78=""),$F78,IF($D78="Per jaar",IF(12=$W78,$C78,0),IF($D78="Per half jaar",IF(MOD(12-$W78,6)=0,$C78,0),IF($D78="Per kwartaal",IF(MOD(12-$W78,3)=0,$C78,0),$F78))))))</f>
        <v/>
      </c>
      <c r="W78" s="15" t="n">
        <f aca="false">IF($E78="",1,IFERROR(MATCH($E78,Lijsten!$K$6:$K$17,0),1))</f>
        <v>1</v>
      </c>
    </row>
    <row r="79" customFormat="false" ht="15" hidden="false" customHeight="false" outlineLevel="0" collapsed="false">
      <c r="A79" s="102"/>
      <c r="B79" s="102"/>
      <c r="C79" s="92"/>
      <c r="D79" s="102"/>
      <c r="E79" s="103"/>
      <c r="F79" s="104" t="str">
        <f aca="false">IF($C79="","",IF($D79="Per jaar",$C79/12,IF($D79="Per kwartaal",$C79/3,IF($D79="Per half jaar",$C79/6,IF($D79="Per week",$C79*52/12,$C79)))))</f>
        <v/>
      </c>
      <c r="G79" s="102"/>
      <c r="H79" s="103"/>
      <c r="I79" s="105"/>
      <c r="J79" s="106" t="str">
        <f aca="false">IF($C79="","",IF(Dashboard!$C$4="Gemiddeld per maand",$F79,IF(OR($D79="Per maand",$D79="Per week",$D79=""),$F79,IF($D79="Per jaar",IF(Dashboard!$N$2=$W79,$C79,0),IF($D79="Per half jaar",IF(MOD(Dashboard!$N$2-$W79,6)=0,$C79,0),IF($D79="Per kwartaal",IF(MOD(Dashboard!$N$2-$W79,3)=0,$C79,0),$F79))))))</f>
        <v/>
      </c>
      <c r="K79" s="107" t="str">
        <f aca="false">IF($C79="","",IF(Dashboard!$C$4="Gemiddeld per maand",$F79,IF(OR($D79="Per maand",$D79="Per week",$D79=""),$F79,IF($D79="Per jaar",IF(1=$W79,$C79,0),IF($D79="Per half jaar",IF(MOD(1-$W79,6)=0,$C79,0),IF($D79="Per kwartaal",IF(MOD(1-$W79,3)=0,$C79,0),$F79))))))</f>
        <v/>
      </c>
      <c r="L79" s="107" t="str">
        <f aca="false">IF($C79="","",IF(Dashboard!$C$4="Gemiddeld per maand",$F79,IF(OR($D79="Per maand",$D79="Per week",$D79=""),$F79,IF($D79="Per jaar",IF(2=$W79,$C79,0),IF($D79="Per half jaar",IF(MOD(2-$W79,6)=0,$C79,0),IF($D79="Per kwartaal",IF(MOD(2-$W79,3)=0,$C79,0),$F79))))))</f>
        <v/>
      </c>
      <c r="M79" s="107" t="str">
        <f aca="false">IF($C79="","",IF(Dashboard!$C$4="Gemiddeld per maand",$F79,IF(OR($D79="Per maand",$D79="Per week",$D79=""),$F79,IF($D79="Per jaar",IF(3=$W79,$C79,0),IF($D79="Per half jaar",IF(MOD(3-$W79,6)=0,$C79,0),IF($D79="Per kwartaal",IF(MOD(3-$W79,3)=0,$C79,0),$F79))))))</f>
        <v/>
      </c>
      <c r="N79" s="107" t="str">
        <f aca="false">IF($C79="","",IF(Dashboard!$C$4="Gemiddeld per maand",$F79,IF(OR($D79="Per maand",$D79="Per week",$D79=""),$F79,IF($D79="Per jaar",IF(4=$W79,$C79,0),IF($D79="Per half jaar",IF(MOD(4-$W79,6)=0,$C79,0),IF($D79="Per kwartaal",IF(MOD(4-$W79,3)=0,$C79,0),$F79))))))</f>
        <v/>
      </c>
      <c r="O79" s="107" t="str">
        <f aca="false">IF($C79="","",IF(Dashboard!$C$4="Gemiddeld per maand",$F79,IF(OR($D79="Per maand",$D79="Per week",$D79=""),$F79,IF($D79="Per jaar",IF(5=$W79,$C79,0),IF($D79="Per half jaar",IF(MOD(5-$W79,6)=0,$C79,0),IF($D79="Per kwartaal",IF(MOD(5-$W79,3)=0,$C79,0),$F79))))))</f>
        <v/>
      </c>
      <c r="P79" s="107" t="str">
        <f aca="false">IF($C79="","",IF(Dashboard!$C$4="Gemiddeld per maand",$F79,IF(OR($D79="Per maand",$D79="Per week",$D79=""),$F79,IF($D79="Per jaar",IF(6=$W79,$C79,0),IF($D79="Per half jaar",IF(MOD(6-$W79,6)=0,$C79,0),IF($D79="Per kwartaal",IF(MOD(6-$W79,3)=0,$C79,0),$F79))))))</f>
        <v/>
      </c>
      <c r="Q79" s="107" t="str">
        <f aca="false">IF($C79="","",IF(Dashboard!$C$4="Gemiddeld per maand",$F79,IF(OR($D79="Per maand",$D79="Per week",$D79=""),$F79,IF($D79="Per jaar",IF(7=$W79,$C79,0),IF($D79="Per half jaar",IF(MOD(7-$W79,6)=0,$C79,0),IF($D79="Per kwartaal",IF(MOD(7-$W79,3)=0,$C79,0),$F79))))))</f>
        <v/>
      </c>
      <c r="R79" s="107" t="str">
        <f aca="false">IF($C79="","",IF(Dashboard!$C$4="Gemiddeld per maand",$F79,IF(OR($D79="Per maand",$D79="Per week",$D79=""),$F79,IF($D79="Per jaar",IF(8=$W79,$C79,0),IF($D79="Per half jaar",IF(MOD(8-$W79,6)=0,$C79,0),IF($D79="Per kwartaal",IF(MOD(8-$W79,3)=0,$C79,0),$F79))))))</f>
        <v/>
      </c>
      <c r="S79" s="107" t="str">
        <f aca="false">IF($C79="","",IF(Dashboard!$C$4="Gemiddeld per maand",$F79,IF(OR($D79="Per maand",$D79="Per week",$D79=""),$F79,IF($D79="Per jaar",IF(9=$W79,$C79,0),IF($D79="Per half jaar",IF(MOD(9-$W79,6)=0,$C79,0),IF($D79="Per kwartaal",IF(MOD(9-$W79,3)=0,$C79,0),$F79))))))</f>
        <v/>
      </c>
      <c r="T79" s="107" t="str">
        <f aca="false">IF($C79="","",IF(Dashboard!$C$4="Gemiddeld per maand",$F79,IF(OR($D79="Per maand",$D79="Per week",$D79=""),$F79,IF($D79="Per jaar",IF(10=$W79,$C79,0),IF($D79="Per half jaar",IF(MOD(10-$W79,6)=0,$C79,0),IF($D79="Per kwartaal",IF(MOD(10-$W79,3)=0,$C79,0),$F79))))))</f>
        <v/>
      </c>
      <c r="U79" s="107" t="str">
        <f aca="false">IF($C79="","",IF(Dashboard!$C$4="Gemiddeld per maand",$F79,IF(OR($D79="Per maand",$D79="Per week",$D79=""),$F79,IF($D79="Per jaar",IF(11=$W79,$C79,0),IF($D79="Per half jaar",IF(MOD(11-$W79,6)=0,$C79,0),IF($D79="Per kwartaal",IF(MOD(11-$W79,3)=0,$C79,0),$F79))))))</f>
        <v/>
      </c>
      <c r="V79" s="107" t="str">
        <f aca="false">IF($C79="","",IF(Dashboard!$C$4="Gemiddeld per maand",$F79,IF(OR($D79="Per maand",$D79="Per week",$D79=""),$F79,IF($D79="Per jaar",IF(12=$W79,$C79,0),IF($D79="Per half jaar",IF(MOD(12-$W79,6)=0,$C79,0),IF($D79="Per kwartaal",IF(MOD(12-$W79,3)=0,$C79,0),$F79))))))</f>
        <v/>
      </c>
      <c r="W79" s="15" t="n">
        <f aca="false">IF($E79="",1,IFERROR(MATCH($E79,Lijsten!$K$6:$K$17,0),1))</f>
        <v>1</v>
      </c>
    </row>
    <row r="80" customFormat="false" ht="15" hidden="false" customHeight="false" outlineLevel="0" collapsed="false">
      <c r="A80" s="102"/>
      <c r="B80" s="102"/>
      <c r="C80" s="92"/>
      <c r="D80" s="102"/>
      <c r="E80" s="103"/>
      <c r="F80" s="104" t="str">
        <f aca="false">IF($C80="","",IF($D80="Per jaar",$C80/12,IF($D80="Per kwartaal",$C80/3,IF($D80="Per half jaar",$C80/6,IF($D80="Per week",$C80*52/12,$C80)))))</f>
        <v/>
      </c>
      <c r="G80" s="102"/>
      <c r="H80" s="103"/>
      <c r="I80" s="105"/>
      <c r="J80" s="106" t="str">
        <f aca="false">IF($C80="","",IF(Dashboard!$C$4="Gemiddeld per maand",$F80,IF(OR($D80="Per maand",$D80="Per week",$D80=""),$F80,IF($D80="Per jaar",IF(Dashboard!$N$2=$W80,$C80,0),IF($D80="Per half jaar",IF(MOD(Dashboard!$N$2-$W80,6)=0,$C80,0),IF($D80="Per kwartaal",IF(MOD(Dashboard!$N$2-$W80,3)=0,$C80,0),$F80))))))</f>
        <v/>
      </c>
      <c r="K80" s="107" t="str">
        <f aca="false">IF($C80="","",IF(Dashboard!$C$4="Gemiddeld per maand",$F80,IF(OR($D80="Per maand",$D80="Per week",$D80=""),$F80,IF($D80="Per jaar",IF(1=$W80,$C80,0),IF($D80="Per half jaar",IF(MOD(1-$W80,6)=0,$C80,0),IF($D80="Per kwartaal",IF(MOD(1-$W80,3)=0,$C80,0),$F80))))))</f>
        <v/>
      </c>
      <c r="L80" s="107" t="str">
        <f aca="false">IF($C80="","",IF(Dashboard!$C$4="Gemiddeld per maand",$F80,IF(OR($D80="Per maand",$D80="Per week",$D80=""),$F80,IF($D80="Per jaar",IF(2=$W80,$C80,0),IF($D80="Per half jaar",IF(MOD(2-$W80,6)=0,$C80,0),IF($D80="Per kwartaal",IF(MOD(2-$W80,3)=0,$C80,0),$F80))))))</f>
        <v/>
      </c>
      <c r="M80" s="107" t="str">
        <f aca="false">IF($C80="","",IF(Dashboard!$C$4="Gemiddeld per maand",$F80,IF(OR($D80="Per maand",$D80="Per week",$D80=""),$F80,IF($D80="Per jaar",IF(3=$W80,$C80,0),IF($D80="Per half jaar",IF(MOD(3-$W80,6)=0,$C80,0),IF($D80="Per kwartaal",IF(MOD(3-$W80,3)=0,$C80,0),$F80))))))</f>
        <v/>
      </c>
      <c r="N80" s="107" t="str">
        <f aca="false">IF($C80="","",IF(Dashboard!$C$4="Gemiddeld per maand",$F80,IF(OR($D80="Per maand",$D80="Per week",$D80=""),$F80,IF($D80="Per jaar",IF(4=$W80,$C80,0),IF($D80="Per half jaar",IF(MOD(4-$W80,6)=0,$C80,0),IF($D80="Per kwartaal",IF(MOD(4-$W80,3)=0,$C80,0),$F80))))))</f>
        <v/>
      </c>
      <c r="O80" s="107" t="str">
        <f aca="false">IF($C80="","",IF(Dashboard!$C$4="Gemiddeld per maand",$F80,IF(OR($D80="Per maand",$D80="Per week",$D80=""),$F80,IF($D80="Per jaar",IF(5=$W80,$C80,0),IF($D80="Per half jaar",IF(MOD(5-$W80,6)=0,$C80,0),IF($D80="Per kwartaal",IF(MOD(5-$W80,3)=0,$C80,0),$F80))))))</f>
        <v/>
      </c>
      <c r="P80" s="107" t="str">
        <f aca="false">IF($C80="","",IF(Dashboard!$C$4="Gemiddeld per maand",$F80,IF(OR($D80="Per maand",$D80="Per week",$D80=""),$F80,IF($D80="Per jaar",IF(6=$W80,$C80,0),IF($D80="Per half jaar",IF(MOD(6-$W80,6)=0,$C80,0),IF($D80="Per kwartaal",IF(MOD(6-$W80,3)=0,$C80,0),$F80))))))</f>
        <v/>
      </c>
      <c r="Q80" s="107" t="str">
        <f aca="false">IF($C80="","",IF(Dashboard!$C$4="Gemiddeld per maand",$F80,IF(OR($D80="Per maand",$D80="Per week",$D80=""),$F80,IF($D80="Per jaar",IF(7=$W80,$C80,0),IF($D80="Per half jaar",IF(MOD(7-$W80,6)=0,$C80,0),IF($D80="Per kwartaal",IF(MOD(7-$W80,3)=0,$C80,0),$F80))))))</f>
        <v/>
      </c>
      <c r="R80" s="107" t="str">
        <f aca="false">IF($C80="","",IF(Dashboard!$C$4="Gemiddeld per maand",$F80,IF(OR($D80="Per maand",$D80="Per week",$D80=""),$F80,IF($D80="Per jaar",IF(8=$W80,$C80,0),IF($D80="Per half jaar",IF(MOD(8-$W80,6)=0,$C80,0),IF($D80="Per kwartaal",IF(MOD(8-$W80,3)=0,$C80,0),$F80))))))</f>
        <v/>
      </c>
      <c r="S80" s="107" t="str">
        <f aca="false">IF($C80="","",IF(Dashboard!$C$4="Gemiddeld per maand",$F80,IF(OR($D80="Per maand",$D80="Per week",$D80=""),$F80,IF($D80="Per jaar",IF(9=$W80,$C80,0),IF($D80="Per half jaar",IF(MOD(9-$W80,6)=0,$C80,0),IF($D80="Per kwartaal",IF(MOD(9-$W80,3)=0,$C80,0),$F80))))))</f>
        <v/>
      </c>
      <c r="T80" s="107" t="str">
        <f aca="false">IF($C80="","",IF(Dashboard!$C$4="Gemiddeld per maand",$F80,IF(OR($D80="Per maand",$D80="Per week",$D80=""),$F80,IF($D80="Per jaar",IF(10=$W80,$C80,0),IF($D80="Per half jaar",IF(MOD(10-$W80,6)=0,$C80,0),IF($D80="Per kwartaal",IF(MOD(10-$W80,3)=0,$C80,0),$F80))))))</f>
        <v/>
      </c>
      <c r="U80" s="107" t="str">
        <f aca="false">IF($C80="","",IF(Dashboard!$C$4="Gemiddeld per maand",$F80,IF(OR($D80="Per maand",$D80="Per week",$D80=""),$F80,IF($D80="Per jaar",IF(11=$W80,$C80,0),IF($D80="Per half jaar",IF(MOD(11-$W80,6)=0,$C80,0),IF($D80="Per kwartaal",IF(MOD(11-$W80,3)=0,$C80,0),$F80))))))</f>
        <v/>
      </c>
      <c r="V80" s="107" t="str">
        <f aca="false">IF($C80="","",IF(Dashboard!$C$4="Gemiddeld per maand",$F80,IF(OR($D80="Per maand",$D80="Per week",$D80=""),$F80,IF($D80="Per jaar",IF(12=$W80,$C80,0),IF($D80="Per half jaar",IF(MOD(12-$W80,6)=0,$C80,0),IF($D80="Per kwartaal",IF(MOD(12-$W80,3)=0,$C80,0),$F80))))))</f>
        <v/>
      </c>
      <c r="W80" s="15" t="n">
        <f aca="false">IF($E80="",1,IFERROR(MATCH($E80,Lijsten!$K$6:$K$17,0),1))</f>
        <v>1</v>
      </c>
    </row>
    <row r="81" customFormat="false" ht="15" hidden="false" customHeight="false" outlineLevel="0" collapsed="false">
      <c r="A81" s="102"/>
      <c r="B81" s="102"/>
      <c r="C81" s="92"/>
      <c r="D81" s="102"/>
      <c r="E81" s="103"/>
      <c r="F81" s="104" t="str">
        <f aca="false">IF($C81="","",IF($D81="Per jaar",$C81/12,IF($D81="Per kwartaal",$C81/3,IF($D81="Per half jaar",$C81/6,IF($D81="Per week",$C81*52/12,$C81)))))</f>
        <v/>
      </c>
      <c r="G81" s="102"/>
      <c r="H81" s="103"/>
      <c r="I81" s="105"/>
      <c r="J81" s="106" t="str">
        <f aca="false">IF($C81="","",IF(Dashboard!$C$4="Gemiddeld per maand",$F81,IF(OR($D81="Per maand",$D81="Per week",$D81=""),$F81,IF($D81="Per jaar",IF(Dashboard!$N$2=$W81,$C81,0),IF($D81="Per half jaar",IF(MOD(Dashboard!$N$2-$W81,6)=0,$C81,0),IF($D81="Per kwartaal",IF(MOD(Dashboard!$N$2-$W81,3)=0,$C81,0),$F81))))))</f>
        <v/>
      </c>
      <c r="K81" s="107" t="str">
        <f aca="false">IF($C81="","",IF(Dashboard!$C$4="Gemiddeld per maand",$F81,IF(OR($D81="Per maand",$D81="Per week",$D81=""),$F81,IF($D81="Per jaar",IF(1=$W81,$C81,0),IF($D81="Per half jaar",IF(MOD(1-$W81,6)=0,$C81,0),IF($D81="Per kwartaal",IF(MOD(1-$W81,3)=0,$C81,0),$F81))))))</f>
        <v/>
      </c>
      <c r="L81" s="107" t="str">
        <f aca="false">IF($C81="","",IF(Dashboard!$C$4="Gemiddeld per maand",$F81,IF(OR($D81="Per maand",$D81="Per week",$D81=""),$F81,IF($D81="Per jaar",IF(2=$W81,$C81,0),IF($D81="Per half jaar",IF(MOD(2-$W81,6)=0,$C81,0),IF($D81="Per kwartaal",IF(MOD(2-$W81,3)=0,$C81,0),$F81))))))</f>
        <v/>
      </c>
      <c r="M81" s="107" t="str">
        <f aca="false">IF($C81="","",IF(Dashboard!$C$4="Gemiddeld per maand",$F81,IF(OR($D81="Per maand",$D81="Per week",$D81=""),$F81,IF($D81="Per jaar",IF(3=$W81,$C81,0),IF($D81="Per half jaar",IF(MOD(3-$W81,6)=0,$C81,0),IF($D81="Per kwartaal",IF(MOD(3-$W81,3)=0,$C81,0),$F81))))))</f>
        <v/>
      </c>
      <c r="N81" s="107" t="str">
        <f aca="false">IF($C81="","",IF(Dashboard!$C$4="Gemiddeld per maand",$F81,IF(OR($D81="Per maand",$D81="Per week",$D81=""),$F81,IF($D81="Per jaar",IF(4=$W81,$C81,0),IF($D81="Per half jaar",IF(MOD(4-$W81,6)=0,$C81,0),IF($D81="Per kwartaal",IF(MOD(4-$W81,3)=0,$C81,0),$F81))))))</f>
        <v/>
      </c>
      <c r="O81" s="107" t="str">
        <f aca="false">IF($C81="","",IF(Dashboard!$C$4="Gemiddeld per maand",$F81,IF(OR($D81="Per maand",$D81="Per week",$D81=""),$F81,IF($D81="Per jaar",IF(5=$W81,$C81,0),IF($D81="Per half jaar",IF(MOD(5-$W81,6)=0,$C81,0),IF($D81="Per kwartaal",IF(MOD(5-$W81,3)=0,$C81,0),$F81))))))</f>
        <v/>
      </c>
      <c r="P81" s="107" t="str">
        <f aca="false">IF($C81="","",IF(Dashboard!$C$4="Gemiddeld per maand",$F81,IF(OR($D81="Per maand",$D81="Per week",$D81=""),$F81,IF($D81="Per jaar",IF(6=$W81,$C81,0),IF($D81="Per half jaar",IF(MOD(6-$W81,6)=0,$C81,0),IF($D81="Per kwartaal",IF(MOD(6-$W81,3)=0,$C81,0),$F81))))))</f>
        <v/>
      </c>
      <c r="Q81" s="107" t="str">
        <f aca="false">IF($C81="","",IF(Dashboard!$C$4="Gemiddeld per maand",$F81,IF(OR($D81="Per maand",$D81="Per week",$D81=""),$F81,IF($D81="Per jaar",IF(7=$W81,$C81,0),IF($D81="Per half jaar",IF(MOD(7-$W81,6)=0,$C81,0),IF($D81="Per kwartaal",IF(MOD(7-$W81,3)=0,$C81,0),$F81))))))</f>
        <v/>
      </c>
      <c r="R81" s="107" t="str">
        <f aca="false">IF($C81="","",IF(Dashboard!$C$4="Gemiddeld per maand",$F81,IF(OR($D81="Per maand",$D81="Per week",$D81=""),$F81,IF($D81="Per jaar",IF(8=$W81,$C81,0),IF($D81="Per half jaar",IF(MOD(8-$W81,6)=0,$C81,0),IF($D81="Per kwartaal",IF(MOD(8-$W81,3)=0,$C81,0),$F81))))))</f>
        <v/>
      </c>
      <c r="S81" s="107" t="str">
        <f aca="false">IF($C81="","",IF(Dashboard!$C$4="Gemiddeld per maand",$F81,IF(OR($D81="Per maand",$D81="Per week",$D81=""),$F81,IF($D81="Per jaar",IF(9=$W81,$C81,0),IF($D81="Per half jaar",IF(MOD(9-$W81,6)=0,$C81,0),IF($D81="Per kwartaal",IF(MOD(9-$W81,3)=0,$C81,0),$F81))))))</f>
        <v/>
      </c>
      <c r="T81" s="107" t="str">
        <f aca="false">IF($C81="","",IF(Dashboard!$C$4="Gemiddeld per maand",$F81,IF(OR($D81="Per maand",$D81="Per week",$D81=""),$F81,IF($D81="Per jaar",IF(10=$W81,$C81,0),IF($D81="Per half jaar",IF(MOD(10-$W81,6)=0,$C81,0),IF($D81="Per kwartaal",IF(MOD(10-$W81,3)=0,$C81,0),$F81))))))</f>
        <v/>
      </c>
      <c r="U81" s="107" t="str">
        <f aca="false">IF($C81="","",IF(Dashboard!$C$4="Gemiddeld per maand",$F81,IF(OR($D81="Per maand",$D81="Per week",$D81=""),$F81,IF($D81="Per jaar",IF(11=$W81,$C81,0),IF($D81="Per half jaar",IF(MOD(11-$W81,6)=0,$C81,0),IF($D81="Per kwartaal",IF(MOD(11-$W81,3)=0,$C81,0),$F81))))))</f>
        <v/>
      </c>
      <c r="V81" s="107" t="str">
        <f aca="false">IF($C81="","",IF(Dashboard!$C$4="Gemiddeld per maand",$F81,IF(OR($D81="Per maand",$D81="Per week",$D81=""),$F81,IF($D81="Per jaar",IF(12=$W81,$C81,0),IF($D81="Per half jaar",IF(MOD(12-$W81,6)=0,$C81,0),IF($D81="Per kwartaal",IF(MOD(12-$W81,3)=0,$C81,0),$F81))))))</f>
        <v/>
      </c>
      <c r="W81" s="15" t="n">
        <f aca="false">IF($E81="",1,IFERROR(MATCH($E81,Lijsten!$K$6:$K$17,0),1))</f>
        <v>1</v>
      </c>
    </row>
    <row r="82" customFormat="false" ht="15" hidden="false" customHeight="false" outlineLevel="0" collapsed="false">
      <c r="A82" s="102"/>
      <c r="B82" s="102"/>
      <c r="C82" s="92"/>
      <c r="D82" s="102"/>
      <c r="E82" s="103"/>
      <c r="F82" s="104" t="str">
        <f aca="false">IF($C82="","",IF($D82="Per jaar",$C82/12,IF($D82="Per kwartaal",$C82/3,IF($D82="Per half jaar",$C82/6,IF($D82="Per week",$C82*52/12,$C82)))))</f>
        <v/>
      </c>
      <c r="G82" s="102"/>
      <c r="H82" s="103"/>
      <c r="I82" s="105"/>
      <c r="J82" s="106" t="str">
        <f aca="false">IF($C82="","",IF(Dashboard!$C$4="Gemiddeld per maand",$F82,IF(OR($D82="Per maand",$D82="Per week",$D82=""),$F82,IF($D82="Per jaar",IF(Dashboard!$N$2=$W82,$C82,0),IF($D82="Per half jaar",IF(MOD(Dashboard!$N$2-$W82,6)=0,$C82,0),IF($D82="Per kwartaal",IF(MOD(Dashboard!$N$2-$W82,3)=0,$C82,0),$F82))))))</f>
        <v/>
      </c>
      <c r="K82" s="107" t="str">
        <f aca="false">IF($C82="","",IF(Dashboard!$C$4="Gemiddeld per maand",$F82,IF(OR($D82="Per maand",$D82="Per week",$D82=""),$F82,IF($D82="Per jaar",IF(1=$W82,$C82,0),IF($D82="Per half jaar",IF(MOD(1-$W82,6)=0,$C82,0),IF($D82="Per kwartaal",IF(MOD(1-$W82,3)=0,$C82,0),$F82))))))</f>
        <v/>
      </c>
      <c r="L82" s="107" t="str">
        <f aca="false">IF($C82="","",IF(Dashboard!$C$4="Gemiddeld per maand",$F82,IF(OR($D82="Per maand",$D82="Per week",$D82=""),$F82,IF($D82="Per jaar",IF(2=$W82,$C82,0),IF($D82="Per half jaar",IF(MOD(2-$W82,6)=0,$C82,0),IF($D82="Per kwartaal",IF(MOD(2-$W82,3)=0,$C82,0),$F82))))))</f>
        <v/>
      </c>
      <c r="M82" s="107" t="str">
        <f aca="false">IF($C82="","",IF(Dashboard!$C$4="Gemiddeld per maand",$F82,IF(OR($D82="Per maand",$D82="Per week",$D82=""),$F82,IF($D82="Per jaar",IF(3=$W82,$C82,0),IF($D82="Per half jaar",IF(MOD(3-$W82,6)=0,$C82,0),IF($D82="Per kwartaal",IF(MOD(3-$W82,3)=0,$C82,0),$F82))))))</f>
        <v/>
      </c>
      <c r="N82" s="107" t="str">
        <f aca="false">IF($C82="","",IF(Dashboard!$C$4="Gemiddeld per maand",$F82,IF(OR($D82="Per maand",$D82="Per week",$D82=""),$F82,IF($D82="Per jaar",IF(4=$W82,$C82,0),IF($D82="Per half jaar",IF(MOD(4-$W82,6)=0,$C82,0),IF($D82="Per kwartaal",IF(MOD(4-$W82,3)=0,$C82,0),$F82))))))</f>
        <v/>
      </c>
      <c r="O82" s="107" t="str">
        <f aca="false">IF($C82="","",IF(Dashboard!$C$4="Gemiddeld per maand",$F82,IF(OR($D82="Per maand",$D82="Per week",$D82=""),$F82,IF($D82="Per jaar",IF(5=$W82,$C82,0),IF($D82="Per half jaar",IF(MOD(5-$W82,6)=0,$C82,0),IF($D82="Per kwartaal",IF(MOD(5-$W82,3)=0,$C82,0),$F82))))))</f>
        <v/>
      </c>
      <c r="P82" s="107" t="str">
        <f aca="false">IF($C82="","",IF(Dashboard!$C$4="Gemiddeld per maand",$F82,IF(OR($D82="Per maand",$D82="Per week",$D82=""),$F82,IF($D82="Per jaar",IF(6=$W82,$C82,0),IF($D82="Per half jaar",IF(MOD(6-$W82,6)=0,$C82,0),IF($D82="Per kwartaal",IF(MOD(6-$W82,3)=0,$C82,0),$F82))))))</f>
        <v/>
      </c>
      <c r="Q82" s="107" t="str">
        <f aca="false">IF($C82="","",IF(Dashboard!$C$4="Gemiddeld per maand",$F82,IF(OR($D82="Per maand",$D82="Per week",$D82=""),$F82,IF($D82="Per jaar",IF(7=$W82,$C82,0),IF($D82="Per half jaar",IF(MOD(7-$W82,6)=0,$C82,0),IF($D82="Per kwartaal",IF(MOD(7-$W82,3)=0,$C82,0),$F82))))))</f>
        <v/>
      </c>
      <c r="R82" s="107" t="str">
        <f aca="false">IF($C82="","",IF(Dashboard!$C$4="Gemiddeld per maand",$F82,IF(OR($D82="Per maand",$D82="Per week",$D82=""),$F82,IF($D82="Per jaar",IF(8=$W82,$C82,0),IF($D82="Per half jaar",IF(MOD(8-$W82,6)=0,$C82,0),IF($D82="Per kwartaal",IF(MOD(8-$W82,3)=0,$C82,0),$F82))))))</f>
        <v/>
      </c>
      <c r="S82" s="107" t="str">
        <f aca="false">IF($C82="","",IF(Dashboard!$C$4="Gemiddeld per maand",$F82,IF(OR($D82="Per maand",$D82="Per week",$D82=""),$F82,IF($D82="Per jaar",IF(9=$W82,$C82,0),IF($D82="Per half jaar",IF(MOD(9-$W82,6)=0,$C82,0),IF($D82="Per kwartaal",IF(MOD(9-$W82,3)=0,$C82,0),$F82))))))</f>
        <v/>
      </c>
      <c r="T82" s="107" t="str">
        <f aca="false">IF($C82="","",IF(Dashboard!$C$4="Gemiddeld per maand",$F82,IF(OR($D82="Per maand",$D82="Per week",$D82=""),$F82,IF($D82="Per jaar",IF(10=$W82,$C82,0),IF($D82="Per half jaar",IF(MOD(10-$W82,6)=0,$C82,0),IF($D82="Per kwartaal",IF(MOD(10-$W82,3)=0,$C82,0),$F82))))))</f>
        <v/>
      </c>
      <c r="U82" s="107" t="str">
        <f aca="false">IF($C82="","",IF(Dashboard!$C$4="Gemiddeld per maand",$F82,IF(OR($D82="Per maand",$D82="Per week",$D82=""),$F82,IF($D82="Per jaar",IF(11=$W82,$C82,0),IF($D82="Per half jaar",IF(MOD(11-$W82,6)=0,$C82,0),IF($D82="Per kwartaal",IF(MOD(11-$W82,3)=0,$C82,0),$F82))))))</f>
        <v/>
      </c>
      <c r="V82" s="107" t="str">
        <f aca="false">IF($C82="","",IF(Dashboard!$C$4="Gemiddeld per maand",$F82,IF(OR($D82="Per maand",$D82="Per week",$D82=""),$F82,IF($D82="Per jaar",IF(12=$W82,$C82,0),IF($D82="Per half jaar",IF(MOD(12-$W82,6)=0,$C82,0),IF($D82="Per kwartaal",IF(MOD(12-$W82,3)=0,$C82,0),$F82))))))</f>
        <v/>
      </c>
      <c r="W82" s="15" t="n">
        <f aca="false">IF($E82="",1,IFERROR(MATCH($E82,Lijsten!$K$6:$K$17,0),1))</f>
        <v>1</v>
      </c>
    </row>
    <row r="83" customFormat="false" ht="15" hidden="false" customHeight="false" outlineLevel="0" collapsed="false">
      <c r="A83" s="102"/>
      <c r="B83" s="102"/>
      <c r="C83" s="92"/>
      <c r="D83" s="102"/>
      <c r="E83" s="103"/>
      <c r="F83" s="104" t="str">
        <f aca="false">IF($C83="","",IF($D83="Per jaar",$C83/12,IF($D83="Per kwartaal",$C83/3,IF($D83="Per half jaar",$C83/6,IF($D83="Per week",$C83*52/12,$C83)))))</f>
        <v/>
      </c>
      <c r="G83" s="102"/>
      <c r="H83" s="103"/>
      <c r="I83" s="105"/>
      <c r="J83" s="106" t="str">
        <f aca="false">IF($C83="","",IF(Dashboard!$C$4="Gemiddeld per maand",$F83,IF(OR($D83="Per maand",$D83="Per week",$D83=""),$F83,IF($D83="Per jaar",IF(Dashboard!$N$2=$W83,$C83,0),IF($D83="Per half jaar",IF(MOD(Dashboard!$N$2-$W83,6)=0,$C83,0),IF($D83="Per kwartaal",IF(MOD(Dashboard!$N$2-$W83,3)=0,$C83,0),$F83))))))</f>
        <v/>
      </c>
      <c r="K83" s="107" t="str">
        <f aca="false">IF($C83="","",IF(Dashboard!$C$4="Gemiddeld per maand",$F83,IF(OR($D83="Per maand",$D83="Per week",$D83=""),$F83,IF($D83="Per jaar",IF(1=$W83,$C83,0),IF($D83="Per half jaar",IF(MOD(1-$W83,6)=0,$C83,0),IF($D83="Per kwartaal",IF(MOD(1-$W83,3)=0,$C83,0),$F83))))))</f>
        <v/>
      </c>
      <c r="L83" s="107" t="str">
        <f aca="false">IF($C83="","",IF(Dashboard!$C$4="Gemiddeld per maand",$F83,IF(OR($D83="Per maand",$D83="Per week",$D83=""),$F83,IF($D83="Per jaar",IF(2=$W83,$C83,0),IF($D83="Per half jaar",IF(MOD(2-$W83,6)=0,$C83,0),IF($D83="Per kwartaal",IF(MOD(2-$W83,3)=0,$C83,0),$F83))))))</f>
        <v/>
      </c>
      <c r="M83" s="107" t="str">
        <f aca="false">IF($C83="","",IF(Dashboard!$C$4="Gemiddeld per maand",$F83,IF(OR($D83="Per maand",$D83="Per week",$D83=""),$F83,IF($D83="Per jaar",IF(3=$W83,$C83,0),IF($D83="Per half jaar",IF(MOD(3-$W83,6)=0,$C83,0),IF($D83="Per kwartaal",IF(MOD(3-$W83,3)=0,$C83,0),$F83))))))</f>
        <v/>
      </c>
      <c r="N83" s="107" t="str">
        <f aca="false">IF($C83="","",IF(Dashboard!$C$4="Gemiddeld per maand",$F83,IF(OR($D83="Per maand",$D83="Per week",$D83=""),$F83,IF($D83="Per jaar",IF(4=$W83,$C83,0),IF($D83="Per half jaar",IF(MOD(4-$W83,6)=0,$C83,0),IF($D83="Per kwartaal",IF(MOD(4-$W83,3)=0,$C83,0),$F83))))))</f>
        <v/>
      </c>
      <c r="O83" s="107" t="str">
        <f aca="false">IF($C83="","",IF(Dashboard!$C$4="Gemiddeld per maand",$F83,IF(OR($D83="Per maand",$D83="Per week",$D83=""),$F83,IF($D83="Per jaar",IF(5=$W83,$C83,0),IF($D83="Per half jaar",IF(MOD(5-$W83,6)=0,$C83,0),IF($D83="Per kwartaal",IF(MOD(5-$W83,3)=0,$C83,0),$F83))))))</f>
        <v/>
      </c>
      <c r="P83" s="107" t="str">
        <f aca="false">IF($C83="","",IF(Dashboard!$C$4="Gemiddeld per maand",$F83,IF(OR($D83="Per maand",$D83="Per week",$D83=""),$F83,IF($D83="Per jaar",IF(6=$W83,$C83,0),IF($D83="Per half jaar",IF(MOD(6-$W83,6)=0,$C83,0),IF($D83="Per kwartaal",IF(MOD(6-$W83,3)=0,$C83,0),$F83))))))</f>
        <v/>
      </c>
      <c r="Q83" s="107" t="str">
        <f aca="false">IF($C83="","",IF(Dashboard!$C$4="Gemiddeld per maand",$F83,IF(OR($D83="Per maand",$D83="Per week",$D83=""),$F83,IF($D83="Per jaar",IF(7=$W83,$C83,0),IF($D83="Per half jaar",IF(MOD(7-$W83,6)=0,$C83,0),IF($D83="Per kwartaal",IF(MOD(7-$W83,3)=0,$C83,0),$F83))))))</f>
        <v/>
      </c>
      <c r="R83" s="107" t="str">
        <f aca="false">IF($C83="","",IF(Dashboard!$C$4="Gemiddeld per maand",$F83,IF(OR($D83="Per maand",$D83="Per week",$D83=""),$F83,IF($D83="Per jaar",IF(8=$W83,$C83,0),IF($D83="Per half jaar",IF(MOD(8-$W83,6)=0,$C83,0),IF($D83="Per kwartaal",IF(MOD(8-$W83,3)=0,$C83,0),$F83))))))</f>
        <v/>
      </c>
      <c r="S83" s="107" t="str">
        <f aca="false">IF($C83="","",IF(Dashboard!$C$4="Gemiddeld per maand",$F83,IF(OR($D83="Per maand",$D83="Per week",$D83=""),$F83,IF($D83="Per jaar",IF(9=$W83,$C83,0),IF($D83="Per half jaar",IF(MOD(9-$W83,6)=0,$C83,0),IF($D83="Per kwartaal",IF(MOD(9-$W83,3)=0,$C83,0),$F83))))))</f>
        <v/>
      </c>
      <c r="T83" s="107" t="str">
        <f aca="false">IF($C83="","",IF(Dashboard!$C$4="Gemiddeld per maand",$F83,IF(OR($D83="Per maand",$D83="Per week",$D83=""),$F83,IF($D83="Per jaar",IF(10=$W83,$C83,0),IF($D83="Per half jaar",IF(MOD(10-$W83,6)=0,$C83,0),IF($D83="Per kwartaal",IF(MOD(10-$W83,3)=0,$C83,0),$F83))))))</f>
        <v/>
      </c>
      <c r="U83" s="107" t="str">
        <f aca="false">IF($C83="","",IF(Dashboard!$C$4="Gemiddeld per maand",$F83,IF(OR($D83="Per maand",$D83="Per week",$D83=""),$F83,IF($D83="Per jaar",IF(11=$W83,$C83,0),IF($D83="Per half jaar",IF(MOD(11-$W83,6)=0,$C83,0),IF($D83="Per kwartaal",IF(MOD(11-$W83,3)=0,$C83,0),$F83))))))</f>
        <v/>
      </c>
      <c r="V83" s="107" t="str">
        <f aca="false">IF($C83="","",IF(Dashboard!$C$4="Gemiddeld per maand",$F83,IF(OR($D83="Per maand",$D83="Per week",$D83=""),$F83,IF($D83="Per jaar",IF(12=$W83,$C83,0),IF($D83="Per half jaar",IF(MOD(12-$W83,6)=0,$C83,0),IF($D83="Per kwartaal",IF(MOD(12-$W83,3)=0,$C83,0),$F83))))))</f>
        <v/>
      </c>
      <c r="W83" s="15" t="n">
        <f aca="false">IF($E83="",1,IFERROR(MATCH($E83,Lijsten!$K$6:$K$17,0),1))</f>
        <v>1</v>
      </c>
    </row>
    <row r="84" customFormat="false" ht="15" hidden="false" customHeight="false" outlineLevel="0" collapsed="false">
      <c r="A84" s="102"/>
      <c r="B84" s="102"/>
      <c r="C84" s="92"/>
      <c r="D84" s="102"/>
      <c r="E84" s="103"/>
      <c r="F84" s="104" t="str">
        <f aca="false">IF($C84="","",IF($D84="Per jaar",$C84/12,IF($D84="Per kwartaal",$C84/3,IF($D84="Per half jaar",$C84/6,IF($D84="Per week",$C84*52/12,$C84)))))</f>
        <v/>
      </c>
      <c r="G84" s="102"/>
      <c r="H84" s="103"/>
      <c r="I84" s="105"/>
      <c r="J84" s="106" t="str">
        <f aca="false">IF($C84="","",IF(Dashboard!$C$4="Gemiddeld per maand",$F84,IF(OR($D84="Per maand",$D84="Per week",$D84=""),$F84,IF($D84="Per jaar",IF(Dashboard!$N$2=$W84,$C84,0),IF($D84="Per half jaar",IF(MOD(Dashboard!$N$2-$W84,6)=0,$C84,0),IF($D84="Per kwartaal",IF(MOD(Dashboard!$N$2-$W84,3)=0,$C84,0),$F84))))))</f>
        <v/>
      </c>
      <c r="K84" s="107" t="str">
        <f aca="false">IF($C84="","",IF(Dashboard!$C$4="Gemiddeld per maand",$F84,IF(OR($D84="Per maand",$D84="Per week",$D84=""),$F84,IF($D84="Per jaar",IF(1=$W84,$C84,0),IF($D84="Per half jaar",IF(MOD(1-$W84,6)=0,$C84,0),IF($D84="Per kwartaal",IF(MOD(1-$W84,3)=0,$C84,0),$F84))))))</f>
        <v/>
      </c>
      <c r="L84" s="107" t="str">
        <f aca="false">IF($C84="","",IF(Dashboard!$C$4="Gemiddeld per maand",$F84,IF(OR($D84="Per maand",$D84="Per week",$D84=""),$F84,IF($D84="Per jaar",IF(2=$W84,$C84,0),IF($D84="Per half jaar",IF(MOD(2-$W84,6)=0,$C84,0),IF($D84="Per kwartaal",IF(MOD(2-$W84,3)=0,$C84,0),$F84))))))</f>
        <v/>
      </c>
      <c r="M84" s="107" t="str">
        <f aca="false">IF($C84="","",IF(Dashboard!$C$4="Gemiddeld per maand",$F84,IF(OR($D84="Per maand",$D84="Per week",$D84=""),$F84,IF($D84="Per jaar",IF(3=$W84,$C84,0),IF($D84="Per half jaar",IF(MOD(3-$W84,6)=0,$C84,0),IF($D84="Per kwartaal",IF(MOD(3-$W84,3)=0,$C84,0),$F84))))))</f>
        <v/>
      </c>
      <c r="N84" s="107" t="str">
        <f aca="false">IF($C84="","",IF(Dashboard!$C$4="Gemiddeld per maand",$F84,IF(OR($D84="Per maand",$D84="Per week",$D84=""),$F84,IF($D84="Per jaar",IF(4=$W84,$C84,0),IF($D84="Per half jaar",IF(MOD(4-$W84,6)=0,$C84,0),IF($D84="Per kwartaal",IF(MOD(4-$W84,3)=0,$C84,0),$F84))))))</f>
        <v/>
      </c>
      <c r="O84" s="107" t="str">
        <f aca="false">IF($C84="","",IF(Dashboard!$C$4="Gemiddeld per maand",$F84,IF(OR($D84="Per maand",$D84="Per week",$D84=""),$F84,IF($D84="Per jaar",IF(5=$W84,$C84,0),IF($D84="Per half jaar",IF(MOD(5-$W84,6)=0,$C84,0),IF($D84="Per kwartaal",IF(MOD(5-$W84,3)=0,$C84,0),$F84))))))</f>
        <v/>
      </c>
      <c r="P84" s="107" t="str">
        <f aca="false">IF($C84="","",IF(Dashboard!$C$4="Gemiddeld per maand",$F84,IF(OR($D84="Per maand",$D84="Per week",$D84=""),$F84,IF($D84="Per jaar",IF(6=$W84,$C84,0),IF($D84="Per half jaar",IF(MOD(6-$W84,6)=0,$C84,0),IF($D84="Per kwartaal",IF(MOD(6-$W84,3)=0,$C84,0),$F84))))))</f>
        <v/>
      </c>
      <c r="Q84" s="107" t="str">
        <f aca="false">IF($C84="","",IF(Dashboard!$C$4="Gemiddeld per maand",$F84,IF(OR($D84="Per maand",$D84="Per week",$D84=""),$F84,IF($D84="Per jaar",IF(7=$W84,$C84,0),IF($D84="Per half jaar",IF(MOD(7-$W84,6)=0,$C84,0),IF($D84="Per kwartaal",IF(MOD(7-$W84,3)=0,$C84,0),$F84))))))</f>
        <v/>
      </c>
      <c r="R84" s="107" t="str">
        <f aca="false">IF($C84="","",IF(Dashboard!$C$4="Gemiddeld per maand",$F84,IF(OR($D84="Per maand",$D84="Per week",$D84=""),$F84,IF($D84="Per jaar",IF(8=$W84,$C84,0),IF($D84="Per half jaar",IF(MOD(8-$W84,6)=0,$C84,0),IF($D84="Per kwartaal",IF(MOD(8-$W84,3)=0,$C84,0),$F84))))))</f>
        <v/>
      </c>
      <c r="S84" s="107" t="str">
        <f aca="false">IF($C84="","",IF(Dashboard!$C$4="Gemiddeld per maand",$F84,IF(OR($D84="Per maand",$D84="Per week",$D84=""),$F84,IF($D84="Per jaar",IF(9=$W84,$C84,0),IF($D84="Per half jaar",IF(MOD(9-$W84,6)=0,$C84,0),IF($D84="Per kwartaal",IF(MOD(9-$W84,3)=0,$C84,0),$F84))))))</f>
        <v/>
      </c>
      <c r="T84" s="107" t="str">
        <f aca="false">IF($C84="","",IF(Dashboard!$C$4="Gemiddeld per maand",$F84,IF(OR($D84="Per maand",$D84="Per week",$D84=""),$F84,IF($D84="Per jaar",IF(10=$W84,$C84,0),IF($D84="Per half jaar",IF(MOD(10-$W84,6)=0,$C84,0),IF($D84="Per kwartaal",IF(MOD(10-$W84,3)=0,$C84,0),$F84))))))</f>
        <v/>
      </c>
      <c r="U84" s="107" t="str">
        <f aca="false">IF($C84="","",IF(Dashboard!$C$4="Gemiddeld per maand",$F84,IF(OR($D84="Per maand",$D84="Per week",$D84=""),$F84,IF($D84="Per jaar",IF(11=$W84,$C84,0),IF($D84="Per half jaar",IF(MOD(11-$W84,6)=0,$C84,0),IF($D84="Per kwartaal",IF(MOD(11-$W84,3)=0,$C84,0),$F84))))))</f>
        <v/>
      </c>
      <c r="V84" s="107" t="str">
        <f aca="false">IF($C84="","",IF(Dashboard!$C$4="Gemiddeld per maand",$F84,IF(OR($D84="Per maand",$D84="Per week",$D84=""),$F84,IF($D84="Per jaar",IF(12=$W84,$C84,0),IF($D84="Per half jaar",IF(MOD(12-$W84,6)=0,$C84,0),IF($D84="Per kwartaal",IF(MOD(12-$W84,3)=0,$C84,0),$F84))))))</f>
        <v/>
      </c>
      <c r="W84" s="15" t="n">
        <f aca="false">IF($E84="",1,IFERROR(MATCH($E84,Lijsten!$K$6:$K$17,0),1))</f>
        <v>1</v>
      </c>
    </row>
    <row r="85" customFormat="false" ht="15" hidden="false" customHeight="false" outlineLevel="0" collapsed="false">
      <c r="A85" s="102"/>
      <c r="B85" s="102"/>
      <c r="C85" s="92"/>
      <c r="D85" s="102"/>
      <c r="E85" s="103"/>
      <c r="F85" s="104" t="str">
        <f aca="false">IF($C85="","",IF($D85="Per jaar",$C85/12,IF($D85="Per kwartaal",$C85/3,IF($D85="Per half jaar",$C85/6,IF($D85="Per week",$C85*52/12,$C85)))))</f>
        <v/>
      </c>
      <c r="G85" s="102"/>
      <c r="H85" s="103"/>
      <c r="I85" s="105"/>
      <c r="J85" s="106" t="str">
        <f aca="false">IF($C85="","",IF(Dashboard!$C$4="Gemiddeld per maand",$F85,IF(OR($D85="Per maand",$D85="Per week",$D85=""),$F85,IF($D85="Per jaar",IF(Dashboard!$N$2=$W85,$C85,0),IF($D85="Per half jaar",IF(MOD(Dashboard!$N$2-$W85,6)=0,$C85,0),IF($D85="Per kwartaal",IF(MOD(Dashboard!$N$2-$W85,3)=0,$C85,0),$F85))))))</f>
        <v/>
      </c>
      <c r="K85" s="107" t="str">
        <f aca="false">IF($C85="","",IF(Dashboard!$C$4="Gemiddeld per maand",$F85,IF(OR($D85="Per maand",$D85="Per week",$D85=""),$F85,IF($D85="Per jaar",IF(1=$W85,$C85,0),IF($D85="Per half jaar",IF(MOD(1-$W85,6)=0,$C85,0),IF($D85="Per kwartaal",IF(MOD(1-$W85,3)=0,$C85,0),$F85))))))</f>
        <v/>
      </c>
      <c r="L85" s="107" t="str">
        <f aca="false">IF($C85="","",IF(Dashboard!$C$4="Gemiddeld per maand",$F85,IF(OR($D85="Per maand",$D85="Per week",$D85=""),$F85,IF($D85="Per jaar",IF(2=$W85,$C85,0),IF($D85="Per half jaar",IF(MOD(2-$W85,6)=0,$C85,0),IF($D85="Per kwartaal",IF(MOD(2-$W85,3)=0,$C85,0),$F85))))))</f>
        <v/>
      </c>
      <c r="M85" s="107" t="str">
        <f aca="false">IF($C85="","",IF(Dashboard!$C$4="Gemiddeld per maand",$F85,IF(OR($D85="Per maand",$D85="Per week",$D85=""),$F85,IF($D85="Per jaar",IF(3=$W85,$C85,0),IF($D85="Per half jaar",IF(MOD(3-$W85,6)=0,$C85,0),IF($D85="Per kwartaal",IF(MOD(3-$W85,3)=0,$C85,0),$F85))))))</f>
        <v/>
      </c>
      <c r="N85" s="107" t="str">
        <f aca="false">IF($C85="","",IF(Dashboard!$C$4="Gemiddeld per maand",$F85,IF(OR($D85="Per maand",$D85="Per week",$D85=""),$F85,IF($D85="Per jaar",IF(4=$W85,$C85,0),IF($D85="Per half jaar",IF(MOD(4-$W85,6)=0,$C85,0),IF($D85="Per kwartaal",IF(MOD(4-$W85,3)=0,$C85,0),$F85))))))</f>
        <v/>
      </c>
      <c r="O85" s="107" t="str">
        <f aca="false">IF($C85="","",IF(Dashboard!$C$4="Gemiddeld per maand",$F85,IF(OR($D85="Per maand",$D85="Per week",$D85=""),$F85,IF($D85="Per jaar",IF(5=$W85,$C85,0),IF($D85="Per half jaar",IF(MOD(5-$W85,6)=0,$C85,0),IF($D85="Per kwartaal",IF(MOD(5-$W85,3)=0,$C85,0),$F85))))))</f>
        <v/>
      </c>
      <c r="P85" s="107" t="str">
        <f aca="false">IF($C85="","",IF(Dashboard!$C$4="Gemiddeld per maand",$F85,IF(OR($D85="Per maand",$D85="Per week",$D85=""),$F85,IF($D85="Per jaar",IF(6=$W85,$C85,0),IF($D85="Per half jaar",IF(MOD(6-$W85,6)=0,$C85,0),IF($D85="Per kwartaal",IF(MOD(6-$W85,3)=0,$C85,0),$F85))))))</f>
        <v/>
      </c>
      <c r="Q85" s="107" t="str">
        <f aca="false">IF($C85="","",IF(Dashboard!$C$4="Gemiddeld per maand",$F85,IF(OR($D85="Per maand",$D85="Per week",$D85=""),$F85,IF($D85="Per jaar",IF(7=$W85,$C85,0),IF($D85="Per half jaar",IF(MOD(7-$W85,6)=0,$C85,0),IF($D85="Per kwartaal",IF(MOD(7-$W85,3)=0,$C85,0),$F85))))))</f>
        <v/>
      </c>
      <c r="R85" s="107" t="str">
        <f aca="false">IF($C85="","",IF(Dashboard!$C$4="Gemiddeld per maand",$F85,IF(OR($D85="Per maand",$D85="Per week",$D85=""),$F85,IF($D85="Per jaar",IF(8=$W85,$C85,0),IF($D85="Per half jaar",IF(MOD(8-$W85,6)=0,$C85,0),IF($D85="Per kwartaal",IF(MOD(8-$W85,3)=0,$C85,0),$F85))))))</f>
        <v/>
      </c>
      <c r="S85" s="107" t="str">
        <f aca="false">IF($C85="","",IF(Dashboard!$C$4="Gemiddeld per maand",$F85,IF(OR($D85="Per maand",$D85="Per week",$D85=""),$F85,IF($D85="Per jaar",IF(9=$W85,$C85,0),IF($D85="Per half jaar",IF(MOD(9-$W85,6)=0,$C85,0),IF($D85="Per kwartaal",IF(MOD(9-$W85,3)=0,$C85,0),$F85))))))</f>
        <v/>
      </c>
      <c r="T85" s="107" t="str">
        <f aca="false">IF($C85="","",IF(Dashboard!$C$4="Gemiddeld per maand",$F85,IF(OR($D85="Per maand",$D85="Per week",$D85=""),$F85,IF($D85="Per jaar",IF(10=$W85,$C85,0),IF($D85="Per half jaar",IF(MOD(10-$W85,6)=0,$C85,0),IF($D85="Per kwartaal",IF(MOD(10-$W85,3)=0,$C85,0),$F85))))))</f>
        <v/>
      </c>
      <c r="U85" s="107" t="str">
        <f aca="false">IF($C85="","",IF(Dashboard!$C$4="Gemiddeld per maand",$F85,IF(OR($D85="Per maand",$D85="Per week",$D85=""),$F85,IF($D85="Per jaar",IF(11=$W85,$C85,0),IF($D85="Per half jaar",IF(MOD(11-$W85,6)=0,$C85,0),IF($D85="Per kwartaal",IF(MOD(11-$W85,3)=0,$C85,0),$F85))))))</f>
        <v/>
      </c>
      <c r="V85" s="107" t="str">
        <f aca="false">IF($C85="","",IF(Dashboard!$C$4="Gemiddeld per maand",$F85,IF(OR($D85="Per maand",$D85="Per week",$D85=""),$F85,IF($D85="Per jaar",IF(12=$W85,$C85,0),IF($D85="Per half jaar",IF(MOD(12-$W85,6)=0,$C85,0),IF($D85="Per kwartaal",IF(MOD(12-$W85,3)=0,$C85,0),$F85))))))</f>
        <v/>
      </c>
      <c r="W85" s="15" t="n">
        <f aca="false">IF($E85="",1,IFERROR(MATCH($E85,Lijsten!$K$6:$K$17,0),1))</f>
        <v>1</v>
      </c>
    </row>
    <row r="86" customFormat="false" ht="15" hidden="false" customHeight="false" outlineLevel="0" collapsed="false">
      <c r="A86" s="102"/>
      <c r="B86" s="102"/>
      <c r="C86" s="92"/>
      <c r="D86" s="102"/>
      <c r="E86" s="103"/>
      <c r="F86" s="104" t="str">
        <f aca="false">IF($C86="","",IF($D86="Per jaar",$C86/12,IF($D86="Per kwartaal",$C86/3,IF($D86="Per half jaar",$C86/6,IF($D86="Per week",$C86*52/12,$C86)))))</f>
        <v/>
      </c>
      <c r="G86" s="102"/>
      <c r="H86" s="103"/>
      <c r="I86" s="105"/>
      <c r="J86" s="106" t="str">
        <f aca="false">IF($C86="","",IF(Dashboard!$C$4="Gemiddeld per maand",$F86,IF(OR($D86="Per maand",$D86="Per week",$D86=""),$F86,IF($D86="Per jaar",IF(Dashboard!$N$2=$W86,$C86,0),IF($D86="Per half jaar",IF(MOD(Dashboard!$N$2-$W86,6)=0,$C86,0),IF($D86="Per kwartaal",IF(MOD(Dashboard!$N$2-$W86,3)=0,$C86,0),$F86))))))</f>
        <v/>
      </c>
      <c r="K86" s="107" t="str">
        <f aca="false">IF($C86="","",IF(Dashboard!$C$4="Gemiddeld per maand",$F86,IF(OR($D86="Per maand",$D86="Per week",$D86=""),$F86,IF($D86="Per jaar",IF(1=$W86,$C86,0),IF($D86="Per half jaar",IF(MOD(1-$W86,6)=0,$C86,0),IF($D86="Per kwartaal",IF(MOD(1-$W86,3)=0,$C86,0),$F86))))))</f>
        <v/>
      </c>
      <c r="L86" s="107" t="str">
        <f aca="false">IF($C86="","",IF(Dashboard!$C$4="Gemiddeld per maand",$F86,IF(OR($D86="Per maand",$D86="Per week",$D86=""),$F86,IF($D86="Per jaar",IF(2=$W86,$C86,0),IF($D86="Per half jaar",IF(MOD(2-$W86,6)=0,$C86,0),IF($D86="Per kwartaal",IF(MOD(2-$W86,3)=0,$C86,0),$F86))))))</f>
        <v/>
      </c>
      <c r="M86" s="107" t="str">
        <f aca="false">IF($C86="","",IF(Dashboard!$C$4="Gemiddeld per maand",$F86,IF(OR($D86="Per maand",$D86="Per week",$D86=""),$F86,IF($D86="Per jaar",IF(3=$W86,$C86,0),IF($D86="Per half jaar",IF(MOD(3-$W86,6)=0,$C86,0),IF($D86="Per kwartaal",IF(MOD(3-$W86,3)=0,$C86,0),$F86))))))</f>
        <v/>
      </c>
      <c r="N86" s="107" t="str">
        <f aca="false">IF($C86="","",IF(Dashboard!$C$4="Gemiddeld per maand",$F86,IF(OR($D86="Per maand",$D86="Per week",$D86=""),$F86,IF($D86="Per jaar",IF(4=$W86,$C86,0),IF($D86="Per half jaar",IF(MOD(4-$W86,6)=0,$C86,0),IF($D86="Per kwartaal",IF(MOD(4-$W86,3)=0,$C86,0),$F86))))))</f>
        <v/>
      </c>
      <c r="O86" s="107" t="str">
        <f aca="false">IF($C86="","",IF(Dashboard!$C$4="Gemiddeld per maand",$F86,IF(OR($D86="Per maand",$D86="Per week",$D86=""),$F86,IF($D86="Per jaar",IF(5=$W86,$C86,0),IF($D86="Per half jaar",IF(MOD(5-$W86,6)=0,$C86,0),IF($D86="Per kwartaal",IF(MOD(5-$W86,3)=0,$C86,0),$F86))))))</f>
        <v/>
      </c>
      <c r="P86" s="107" t="str">
        <f aca="false">IF($C86="","",IF(Dashboard!$C$4="Gemiddeld per maand",$F86,IF(OR($D86="Per maand",$D86="Per week",$D86=""),$F86,IF($D86="Per jaar",IF(6=$W86,$C86,0),IF($D86="Per half jaar",IF(MOD(6-$W86,6)=0,$C86,0),IF($D86="Per kwartaal",IF(MOD(6-$W86,3)=0,$C86,0),$F86))))))</f>
        <v/>
      </c>
      <c r="Q86" s="107" t="str">
        <f aca="false">IF($C86="","",IF(Dashboard!$C$4="Gemiddeld per maand",$F86,IF(OR($D86="Per maand",$D86="Per week",$D86=""),$F86,IF($D86="Per jaar",IF(7=$W86,$C86,0),IF($D86="Per half jaar",IF(MOD(7-$W86,6)=0,$C86,0),IF($D86="Per kwartaal",IF(MOD(7-$W86,3)=0,$C86,0),$F86))))))</f>
        <v/>
      </c>
      <c r="R86" s="107" t="str">
        <f aca="false">IF($C86="","",IF(Dashboard!$C$4="Gemiddeld per maand",$F86,IF(OR($D86="Per maand",$D86="Per week",$D86=""),$F86,IF($D86="Per jaar",IF(8=$W86,$C86,0),IF($D86="Per half jaar",IF(MOD(8-$W86,6)=0,$C86,0),IF($D86="Per kwartaal",IF(MOD(8-$W86,3)=0,$C86,0),$F86))))))</f>
        <v/>
      </c>
      <c r="S86" s="107" t="str">
        <f aca="false">IF($C86="","",IF(Dashboard!$C$4="Gemiddeld per maand",$F86,IF(OR($D86="Per maand",$D86="Per week",$D86=""),$F86,IF($D86="Per jaar",IF(9=$W86,$C86,0),IF($D86="Per half jaar",IF(MOD(9-$W86,6)=0,$C86,0),IF($D86="Per kwartaal",IF(MOD(9-$W86,3)=0,$C86,0),$F86))))))</f>
        <v/>
      </c>
      <c r="T86" s="107" t="str">
        <f aca="false">IF($C86="","",IF(Dashboard!$C$4="Gemiddeld per maand",$F86,IF(OR($D86="Per maand",$D86="Per week",$D86=""),$F86,IF($D86="Per jaar",IF(10=$W86,$C86,0),IF($D86="Per half jaar",IF(MOD(10-$W86,6)=0,$C86,0),IF($D86="Per kwartaal",IF(MOD(10-$W86,3)=0,$C86,0),$F86))))))</f>
        <v/>
      </c>
      <c r="U86" s="107" t="str">
        <f aca="false">IF($C86="","",IF(Dashboard!$C$4="Gemiddeld per maand",$F86,IF(OR($D86="Per maand",$D86="Per week",$D86=""),$F86,IF($D86="Per jaar",IF(11=$W86,$C86,0),IF($D86="Per half jaar",IF(MOD(11-$W86,6)=0,$C86,0),IF($D86="Per kwartaal",IF(MOD(11-$W86,3)=0,$C86,0),$F86))))))</f>
        <v/>
      </c>
      <c r="V86" s="107" t="str">
        <f aca="false">IF($C86="","",IF(Dashboard!$C$4="Gemiddeld per maand",$F86,IF(OR($D86="Per maand",$D86="Per week",$D86=""),$F86,IF($D86="Per jaar",IF(12=$W86,$C86,0),IF($D86="Per half jaar",IF(MOD(12-$W86,6)=0,$C86,0),IF($D86="Per kwartaal",IF(MOD(12-$W86,3)=0,$C86,0),$F86))))))</f>
        <v/>
      </c>
      <c r="W86" s="15" t="n">
        <f aca="false">IF($E86="",1,IFERROR(MATCH($E86,Lijsten!$K$6:$K$17,0),1))</f>
        <v>1</v>
      </c>
    </row>
    <row r="87" customFormat="false" ht="15" hidden="false" customHeight="false" outlineLevel="0" collapsed="false">
      <c r="A87" s="102"/>
      <c r="B87" s="102"/>
      <c r="C87" s="92"/>
      <c r="D87" s="102"/>
      <c r="E87" s="103"/>
      <c r="F87" s="104" t="str">
        <f aca="false">IF($C87="","",IF($D87="Per jaar",$C87/12,IF($D87="Per kwartaal",$C87/3,IF($D87="Per half jaar",$C87/6,IF($D87="Per week",$C87*52/12,$C87)))))</f>
        <v/>
      </c>
      <c r="G87" s="102"/>
      <c r="H87" s="103"/>
      <c r="I87" s="105"/>
      <c r="J87" s="106" t="str">
        <f aca="false">IF($C87="","",IF(Dashboard!$C$4="Gemiddeld per maand",$F87,IF(OR($D87="Per maand",$D87="Per week",$D87=""),$F87,IF($D87="Per jaar",IF(Dashboard!$N$2=$W87,$C87,0),IF($D87="Per half jaar",IF(MOD(Dashboard!$N$2-$W87,6)=0,$C87,0),IF($D87="Per kwartaal",IF(MOD(Dashboard!$N$2-$W87,3)=0,$C87,0),$F87))))))</f>
        <v/>
      </c>
      <c r="K87" s="107" t="str">
        <f aca="false">IF($C87="","",IF(Dashboard!$C$4="Gemiddeld per maand",$F87,IF(OR($D87="Per maand",$D87="Per week",$D87=""),$F87,IF($D87="Per jaar",IF(1=$W87,$C87,0),IF($D87="Per half jaar",IF(MOD(1-$W87,6)=0,$C87,0),IF($D87="Per kwartaal",IF(MOD(1-$W87,3)=0,$C87,0),$F87))))))</f>
        <v/>
      </c>
      <c r="L87" s="107" t="str">
        <f aca="false">IF($C87="","",IF(Dashboard!$C$4="Gemiddeld per maand",$F87,IF(OR($D87="Per maand",$D87="Per week",$D87=""),$F87,IF($D87="Per jaar",IF(2=$W87,$C87,0),IF($D87="Per half jaar",IF(MOD(2-$W87,6)=0,$C87,0),IF($D87="Per kwartaal",IF(MOD(2-$W87,3)=0,$C87,0),$F87))))))</f>
        <v/>
      </c>
      <c r="M87" s="107" t="str">
        <f aca="false">IF($C87="","",IF(Dashboard!$C$4="Gemiddeld per maand",$F87,IF(OR($D87="Per maand",$D87="Per week",$D87=""),$F87,IF($D87="Per jaar",IF(3=$W87,$C87,0),IF($D87="Per half jaar",IF(MOD(3-$W87,6)=0,$C87,0),IF($D87="Per kwartaal",IF(MOD(3-$W87,3)=0,$C87,0),$F87))))))</f>
        <v/>
      </c>
      <c r="N87" s="107" t="str">
        <f aca="false">IF($C87="","",IF(Dashboard!$C$4="Gemiddeld per maand",$F87,IF(OR($D87="Per maand",$D87="Per week",$D87=""),$F87,IF($D87="Per jaar",IF(4=$W87,$C87,0),IF($D87="Per half jaar",IF(MOD(4-$W87,6)=0,$C87,0),IF($D87="Per kwartaal",IF(MOD(4-$W87,3)=0,$C87,0),$F87))))))</f>
        <v/>
      </c>
      <c r="O87" s="107" t="str">
        <f aca="false">IF($C87="","",IF(Dashboard!$C$4="Gemiddeld per maand",$F87,IF(OR($D87="Per maand",$D87="Per week",$D87=""),$F87,IF($D87="Per jaar",IF(5=$W87,$C87,0),IF($D87="Per half jaar",IF(MOD(5-$W87,6)=0,$C87,0),IF($D87="Per kwartaal",IF(MOD(5-$W87,3)=0,$C87,0),$F87))))))</f>
        <v/>
      </c>
      <c r="P87" s="107" t="str">
        <f aca="false">IF($C87="","",IF(Dashboard!$C$4="Gemiddeld per maand",$F87,IF(OR($D87="Per maand",$D87="Per week",$D87=""),$F87,IF($D87="Per jaar",IF(6=$W87,$C87,0),IF($D87="Per half jaar",IF(MOD(6-$W87,6)=0,$C87,0),IF($D87="Per kwartaal",IF(MOD(6-$W87,3)=0,$C87,0),$F87))))))</f>
        <v/>
      </c>
      <c r="Q87" s="107" t="str">
        <f aca="false">IF($C87="","",IF(Dashboard!$C$4="Gemiddeld per maand",$F87,IF(OR($D87="Per maand",$D87="Per week",$D87=""),$F87,IF($D87="Per jaar",IF(7=$W87,$C87,0),IF($D87="Per half jaar",IF(MOD(7-$W87,6)=0,$C87,0),IF($D87="Per kwartaal",IF(MOD(7-$W87,3)=0,$C87,0),$F87))))))</f>
        <v/>
      </c>
      <c r="R87" s="107" t="str">
        <f aca="false">IF($C87="","",IF(Dashboard!$C$4="Gemiddeld per maand",$F87,IF(OR($D87="Per maand",$D87="Per week",$D87=""),$F87,IF($D87="Per jaar",IF(8=$W87,$C87,0),IF($D87="Per half jaar",IF(MOD(8-$W87,6)=0,$C87,0),IF($D87="Per kwartaal",IF(MOD(8-$W87,3)=0,$C87,0),$F87))))))</f>
        <v/>
      </c>
      <c r="S87" s="107" t="str">
        <f aca="false">IF($C87="","",IF(Dashboard!$C$4="Gemiddeld per maand",$F87,IF(OR($D87="Per maand",$D87="Per week",$D87=""),$F87,IF($D87="Per jaar",IF(9=$W87,$C87,0),IF($D87="Per half jaar",IF(MOD(9-$W87,6)=0,$C87,0),IF($D87="Per kwartaal",IF(MOD(9-$W87,3)=0,$C87,0),$F87))))))</f>
        <v/>
      </c>
      <c r="T87" s="107" t="str">
        <f aca="false">IF($C87="","",IF(Dashboard!$C$4="Gemiddeld per maand",$F87,IF(OR($D87="Per maand",$D87="Per week",$D87=""),$F87,IF($D87="Per jaar",IF(10=$W87,$C87,0),IF($D87="Per half jaar",IF(MOD(10-$W87,6)=0,$C87,0),IF($D87="Per kwartaal",IF(MOD(10-$W87,3)=0,$C87,0),$F87))))))</f>
        <v/>
      </c>
      <c r="U87" s="107" t="str">
        <f aca="false">IF($C87="","",IF(Dashboard!$C$4="Gemiddeld per maand",$F87,IF(OR($D87="Per maand",$D87="Per week",$D87=""),$F87,IF($D87="Per jaar",IF(11=$W87,$C87,0),IF($D87="Per half jaar",IF(MOD(11-$W87,6)=0,$C87,0),IF($D87="Per kwartaal",IF(MOD(11-$W87,3)=0,$C87,0),$F87))))))</f>
        <v/>
      </c>
      <c r="V87" s="107" t="str">
        <f aca="false">IF($C87="","",IF(Dashboard!$C$4="Gemiddeld per maand",$F87,IF(OR($D87="Per maand",$D87="Per week",$D87=""),$F87,IF($D87="Per jaar",IF(12=$W87,$C87,0),IF($D87="Per half jaar",IF(MOD(12-$W87,6)=0,$C87,0),IF($D87="Per kwartaal",IF(MOD(12-$W87,3)=0,$C87,0),$F87))))))</f>
        <v/>
      </c>
      <c r="W87" s="15" t="n">
        <f aca="false">IF($E87="",1,IFERROR(MATCH($E87,Lijsten!$K$6:$K$17,0),1))</f>
        <v>1</v>
      </c>
    </row>
    <row r="88" customFormat="false" ht="15" hidden="false" customHeight="false" outlineLevel="0" collapsed="false">
      <c r="A88" s="102"/>
      <c r="B88" s="102"/>
      <c r="C88" s="92"/>
      <c r="D88" s="102"/>
      <c r="E88" s="103"/>
      <c r="F88" s="104" t="str">
        <f aca="false">IF($C88="","",IF($D88="Per jaar",$C88/12,IF($D88="Per kwartaal",$C88/3,IF($D88="Per half jaar",$C88/6,IF($D88="Per week",$C88*52/12,$C88)))))</f>
        <v/>
      </c>
      <c r="G88" s="102"/>
      <c r="H88" s="103"/>
      <c r="I88" s="105"/>
      <c r="J88" s="106" t="str">
        <f aca="false">IF($C88="","",IF(Dashboard!$C$4="Gemiddeld per maand",$F88,IF(OR($D88="Per maand",$D88="Per week",$D88=""),$F88,IF($D88="Per jaar",IF(Dashboard!$N$2=$W88,$C88,0),IF($D88="Per half jaar",IF(MOD(Dashboard!$N$2-$W88,6)=0,$C88,0),IF($D88="Per kwartaal",IF(MOD(Dashboard!$N$2-$W88,3)=0,$C88,0),$F88))))))</f>
        <v/>
      </c>
      <c r="K88" s="107" t="str">
        <f aca="false">IF($C88="","",IF(Dashboard!$C$4="Gemiddeld per maand",$F88,IF(OR($D88="Per maand",$D88="Per week",$D88=""),$F88,IF($D88="Per jaar",IF(1=$W88,$C88,0),IF($D88="Per half jaar",IF(MOD(1-$W88,6)=0,$C88,0),IF($D88="Per kwartaal",IF(MOD(1-$W88,3)=0,$C88,0),$F88))))))</f>
        <v/>
      </c>
      <c r="L88" s="107" t="str">
        <f aca="false">IF($C88="","",IF(Dashboard!$C$4="Gemiddeld per maand",$F88,IF(OR($D88="Per maand",$D88="Per week",$D88=""),$F88,IF($D88="Per jaar",IF(2=$W88,$C88,0),IF($D88="Per half jaar",IF(MOD(2-$W88,6)=0,$C88,0),IF($D88="Per kwartaal",IF(MOD(2-$W88,3)=0,$C88,0),$F88))))))</f>
        <v/>
      </c>
      <c r="M88" s="107" t="str">
        <f aca="false">IF($C88="","",IF(Dashboard!$C$4="Gemiddeld per maand",$F88,IF(OR($D88="Per maand",$D88="Per week",$D88=""),$F88,IF($D88="Per jaar",IF(3=$W88,$C88,0),IF($D88="Per half jaar",IF(MOD(3-$W88,6)=0,$C88,0),IF($D88="Per kwartaal",IF(MOD(3-$W88,3)=0,$C88,0),$F88))))))</f>
        <v/>
      </c>
      <c r="N88" s="107" t="str">
        <f aca="false">IF($C88="","",IF(Dashboard!$C$4="Gemiddeld per maand",$F88,IF(OR($D88="Per maand",$D88="Per week",$D88=""),$F88,IF($D88="Per jaar",IF(4=$W88,$C88,0),IF($D88="Per half jaar",IF(MOD(4-$W88,6)=0,$C88,0),IF($D88="Per kwartaal",IF(MOD(4-$W88,3)=0,$C88,0),$F88))))))</f>
        <v/>
      </c>
      <c r="O88" s="107" t="str">
        <f aca="false">IF($C88="","",IF(Dashboard!$C$4="Gemiddeld per maand",$F88,IF(OR($D88="Per maand",$D88="Per week",$D88=""),$F88,IF($D88="Per jaar",IF(5=$W88,$C88,0),IF($D88="Per half jaar",IF(MOD(5-$W88,6)=0,$C88,0),IF($D88="Per kwartaal",IF(MOD(5-$W88,3)=0,$C88,0),$F88))))))</f>
        <v/>
      </c>
      <c r="P88" s="107" t="str">
        <f aca="false">IF($C88="","",IF(Dashboard!$C$4="Gemiddeld per maand",$F88,IF(OR($D88="Per maand",$D88="Per week",$D88=""),$F88,IF($D88="Per jaar",IF(6=$W88,$C88,0),IF($D88="Per half jaar",IF(MOD(6-$W88,6)=0,$C88,0),IF($D88="Per kwartaal",IF(MOD(6-$W88,3)=0,$C88,0),$F88))))))</f>
        <v/>
      </c>
      <c r="Q88" s="107" t="str">
        <f aca="false">IF($C88="","",IF(Dashboard!$C$4="Gemiddeld per maand",$F88,IF(OR($D88="Per maand",$D88="Per week",$D88=""),$F88,IF($D88="Per jaar",IF(7=$W88,$C88,0),IF($D88="Per half jaar",IF(MOD(7-$W88,6)=0,$C88,0),IF($D88="Per kwartaal",IF(MOD(7-$W88,3)=0,$C88,0),$F88))))))</f>
        <v/>
      </c>
      <c r="R88" s="107" t="str">
        <f aca="false">IF($C88="","",IF(Dashboard!$C$4="Gemiddeld per maand",$F88,IF(OR($D88="Per maand",$D88="Per week",$D88=""),$F88,IF($D88="Per jaar",IF(8=$W88,$C88,0),IF($D88="Per half jaar",IF(MOD(8-$W88,6)=0,$C88,0),IF($D88="Per kwartaal",IF(MOD(8-$W88,3)=0,$C88,0),$F88))))))</f>
        <v/>
      </c>
      <c r="S88" s="107" t="str">
        <f aca="false">IF($C88="","",IF(Dashboard!$C$4="Gemiddeld per maand",$F88,IF(OR($D88="Per maand",$D88="Per week",$D88=""),$F88,IF($D88="Per jaar",IF(9=$W88,$C88,0),IF($D88="Per half jaar",IF(MOD(9-$W88,6)=0,$C88,0),IF($D88="Per kwartaal",IF(MOD(9-$W88,3)=0,$C88,0),$F88))))))</f>
        <v/>
      </c>
      <c r="T88" s="107" t="str">
        <f aca="false">IF($C88="","",IF(Dashboard!$C$4="Gemiddeld per maand",$F88,IF(OR($D88="Per maand",$D88="Per week",$D88=""),$F88,IF($D88="Per jaar",IF(10=$W88,$C88,0),IF($D88="Per half jaar",IF(MOD(10-$W88,6)=0,$C88,0),IF($D88="Per kwartaal",IF(MOD(10-$W88,3)=0,$C88,0),$F88))))))</f>
        <v/>
      </c>
      <c r="U88" s="107" t="str">
        <f aca="false">IF($C88="","",IF(Dashboard!$C$4="Gemiddeld per maand",$F88,IF(OR($D88="Per maand",$D88="Per week",$D88=""),$F88,IF($D88="Per jaar",IF(11=$W88,$C88,0),IF($D88="Per half jaar",IF(MOD(11-$W88,6)=0,$C88,0),IF($D88="Per kwartaal",IF(MOD(11-$W88,3)=0,$C88,0),$F88))))))</f>
        <v/>
      </c>
      <c r="V88" s="107" t="str">
        <f aca="false">IF($C88="","",IF(Dashboard!$C$4="Gemiddeld per maand",$F88,IF(OR($D88="Per maand",$D88="Per week",$D88=""),$F88,IF($D88="Per jaar",IF(12=$W88,$C88,0),IF($D88="Per half jaar",IF(MOD(12-$W88,6)=0,$C88,0),IF($D88="Per kwartaal",IF(MOD(12-$W88,3)=0,$C88,0),$F88))))))</f>
        <v/>
      </c>
      <c r="W88" s="15" t="n">
        <f aca="false">IF($E88="",1,IFERROR(MATCH($E88,Lijsten!$K$6:$K$17,0),1))</f>
        <v>1</v>
      </c>
    </row>
    <row r="89" customFormat="false" ht="15" hidden="false" customHeight="false" outlineLevel="0" collapsed="false">
      <c r="A89" s="102"/>
      <c r="B89" s="102"/>
      <c r="C89" s="92"/>
      <c r="D89" s="102"/>
      <c r="E89" s="103"/>
      <c r="F89" s="104" t="str">
        <f aca="false">IF($C89="","",IF($D89="Per jaar",$C89/12,IF($D89="Per kwartaal",$C89/3,IF($D89="Per half jaar",$C89/6,IF($D89="Per week",$C89*52/12,$C89)))))</f>
        <v/>
      </c>
      <c r="G89" s="102"/>
      <c r="H89" s="103"/>
      <c r="I89" s="105"/>
      <c r="J89" s="106" t="str">
        <f aca="false">IF($C89="","",IF(Dashboard!$C$4="Gemiddeld per maand",$F89,IF(OR($D89="Per maand",$D89="Per week",$D89=""),$F89,IF($D89="Per jaar",IF(Dashboard!$N$2=$W89,$C89,0),IF($D89="Per half jaar",IF(MOD(Dashboard!$N$2-$W89,6)=0,$C89,0),IF($D89="Per kwartaal",IF(MOD(Dashboard!$N$2-$W89,3)=0,$C89,0),$F89))))))</f>
        <v/>
      </c>
      <c r="K89" s="107" t="str">
        <f aca="false">IF($C89="","",IF(Dashboard!$C$4="Gemiddeld per maand",$F89,IF(OR($D89="Per maand",$D89="Per week",$D89=""),$F89,IF($D89="Per jaar",IF(1=$W89,$C89,0),IF($D89="Per half jaar",IF(MOD(1-$W89,6)=0,$C89,0),IF($D89="Per kwartaal",IF(MOD(1-$W89,3)=0,$C89,0),$F89))))))</f>
        <v/>
      </c>
      <c r="L89" s="107" t="str">
        <f aca="false">IF($C89="","",IF(Dashboard!$C$4="Gemiddeld per maand",$F89,IF(OR($D89="Per maand",$D89="Per week",$D89=""),$F89,IF($D89="Per jaar",IF(2=$W89,$C89,0),IF($D89="Per half jaar",IF(MOD(2-$W89,6)=0,$C89,0),IF($D89="Per kwartaal",IF(MOD(2-$W89,3)=0,$C89,0),$F89))))))</f>
        <v/>
      </c>
      <c r="M89" s="107" t="str">
        <f aca="false">IF($C89="","",IF(Dashboard!$C$4="Gemiddeld per maand",$F89,IF(OR($D89="Per maand",$D89="Per week",$D89=""),$F89,IF($D89="Per jaar",IF(3=$W89,$C89,0),IF($D89="Per half jaar",IF(MOD(3-$W89,6)=0,$C89,0),IF($D89="Per kwartaal",IF(MOD(3-$W89,3)=0,$C89,0),$F89))))))</f>
        <v/>
      </c>
      <c r="N89" s="107" t="str">
        <f aca="false">IF($C89="","",IF(Dashboard!$C$4="Gemiddeld per maand",$F89,IF(OR($D89="Per maand",$D89="Per week",$D89=""),$F89,IF($D89="Per jaar",IF(4=$W89,$C89,0),IF($D89="Per half jaar",IF(MOD(4-$W89,6)=0,$C89,0),IF($D89="Per kwartaal",IF(MOD(4-$W89,3)=0,$C89,0),$F89))))))</f>
        <v/>
      </c>
      <c r="O89" s="107" t="str">
        <f aca="false">IF($C89="","",IF(Dashboard!$C$4="Gemiddeld per maand",$F89,IF(OR($D89="Per maand",$D89="Per week",$D89=""),$F89,IF($D89="Per jaar",IF(5=$W89,$C89,0),IF($D89="Per half jaar",IF(MOD(5-$W89,6)=0,$C89,0),IF($D89="Per kwartaal",IF(MOD(5-$W89,3)=0,$C89,0),$F89))))))</f>
        <v/>
      </c>
      <c r="P89" s="107" t="str">
        <f aca="false">IF($C89="","",IF(Dashboard!$C$4="Gemiddeld per maand",$F89,IF(OR($D89="Per maand",$D89="Per week",$D89=""),$F89,IF($D89="Per jaar",IF(6=$W89,$C89,0),IF($D89="Per half jaar",IF(MOD(6-$W89,6)=0,$C89,0),IF($D89="Per kwartaal",IF(MOD(6-$W89,3)=0,$C89,0),$F89))))))</f>
        <v/>
      </c>
      <c r="Q89" s="107" t="str">
        <f aca="false">IF($C89="","",IF(Dashboard!$C$4="Gemiddeld per maand",$F89,IF(OR($D89="Per maand",$D89="Per week",$D89=""),$F89,IF($D89="Per jaar",IF(7=$W89,$C89,0),IF($D89="Per half jaar",IF(MOD(7-$W89,6)=0,$C89,0),IF($D89="Per kwartaal",IF(MOD(7-$W89,3)=0,$C89,0),$F89))))))</f>
        <v/>
      </c>
      <c r="R89" s="107" t="str">
        <f aca="false">IF($C89="","",IF(Dashboard!$C$4="Gemiddeld per maand",$F89,IF(OR($D89="Per maand",$D89="Per week",$D89=""),$F89,IF($D89="Per jaar",IF(8=$W89,$C89,0),IF($D89="Per half jaar",IF(MOD(8-$W89,6)=0,$C89,0),IF($D89="Per kwartaal",IF(MOD(8-$W89,3)=0,$C89,0),$F89))))))</f>
        <v/>
      </c>
      <c r="S89" s="107" t="str">
        <f aca="false">IF($C89="","",IF(Dashboard!$C$4="Gemiddeld per maand",$F89,IF(OR($D89="Per maand",$D89="Per week",$D89=""),$F89,IF($D89="Per jaar",IF(9=$W89,$C89,0),IF($D89="Per half jaar",IF(MOD(9-$W89,6)=0,$C89,0),IF($D89="Per kwartaal",IF(MOD(9-$W89,3)=0,$C89,0),$F89))))))</f>
        <v/>
      </c>
      <c r="T89" s="107" t="str">
        <f aca="false">IF($C89="","",IF(Dashboard!$C$4="Gemiddeld per maand",$F89,IF(OR($D89="Per maand",$D89="Per week",$D89=""),$F89,IF($D89="Per jaar",IF(10=$W89,$C89,0),IF($D89="Per half jaar",IF(MOD(10-$W89,6)=0,$C89,0),IF($D89="Per kwartaal",IF(MOD(10-$W89,3)=0,$C89,0),$F89))))))</f>
        <v/>
      </c>
      <c r="U89" s="107" t="str">
        <f aca="false">IF($C89="","",IF(Dashboard!$C$4="Gemiddeld per maand",$F89,IF(OR($D89="Per maand",$D89="Per week",$D89=""),$F89,IF($D89="Per jaar",IF(11=$W89,$C89,0),IF($D89="Per half jaar",IF(MOD(11-$W89,6)=0,$C89,0),IF($D89="Per kwartaal",IF(MOD(11-$W89,3)=0,$C89,0),$F89))))))</f>
        <v/>
      </c>
      <c r="V89" s="107" t="str">
        <f aca="false">IF($C89="","",IF(Dashboard!$C$4="Gemiddeld per maand",$F89,IF(OR($D89="Per maand",$D89="Per week",$D89=""),$F89,IF($D89="Per jaar",IF(12=$W89,$C89,0),IF($D89="Per half jaar",IF(MOD(12-$W89,6)=0,$C89,0),IF($D89="Per kwartaal",IF(MOD(12-$W89,3)=0,$C89,0),$F89))))))</f>
        <v/>
      </c>
      <c r="W89" s="15" t="n">
        <f aca="false">IF($E89="",1,IFERROR(MATCH($E89,Lijsten!$K$6:$K$17,0),1))</f>
        <v>1</v>
      </c>
    </row>
    <row r="90" customFormat="false" ht="15" hidden="false" customHeight="false" outlineLevel="0" collapsed="false">
      <c r="A90" s="102"/>
      <c r="B90" s="102"/>
      <c r="C90" s="92"/>
      <c r="D90" s="102"/>
      <c r="E90" s="103"/>
      <c r="F90" s="104" t="str">
        <f aca="false">IF($C90="","",IF($D90="Per jaar",$C90/12,IF($D90="Per kwartaal",$C90/3,IF($D90="Per half jaar",$C90/6,IF($D90="Per week",$C90*52/12,$C90)))))</f>
        <v/>
      </c>
      <c r="G90" s="102"/>
      <c r="H90" s="103"/>
      <c r="I90" s="105"/>
      <c r="J90" s="106" t="str">
        <f aca="false">IF($C90="","",IF(Dashboard!$C$4="Gemiddeld per maand",$F90,IF(OR($D90="Per maand",$D90="Per week",$D90=""),$F90,IF($D90="Per jaar",IF(Dashboard!$N$2=$W90,$C90,0),IF($D90="Per half jaar",IF(MOD(Dashboard!$N$2-$W90,6)=0,$C90,0),IF($D90="Per kwartaal",IF(MOD(Dashboard!$N$2-$W90,3)=0,$C90,0),$F90))))))</f>
        <v/>
      </c>
      <c r="K90" s="107" t="str">
        <f aca="false">IF($C90="","",IF(Dashboard!$C$4="Gemiddeld per maand",$F90,IF(OR($D90="Per maand",$D90="Per week",$D90=""),$F90,IF($D90="Per jaar",IF(1=$W90,$C90,0),IF($D90="Per half jaar",IF(MOD(1-$W90,6)=0,$C90,0),IF($D90="Per kwartaal",IF(MOD(1-$W90,3)=0,$C90,0),$F90))))))</f>
        <v/>
      </c>
      <c r="L90" s="107" t="str">
        <f aca="false">IF($C90="","",IF(Dashboard!$C$4="Gemiddeld per maand",$F90,IF(OR($D90="Per maand",$D90="Per week",$D90=""),$F90,IF($D90="Per jaar",IF(2=$W90,$C90,0),IF($D90="Per half jaar",IF(MOD(2-$W90,6)=0,$C90,0),IF($D90="Per kwartaal",IF(MOD(2-$W90,3)=0,$C90,0),$F90))))))</f>
        <v/>
      </c>
      <c r="M90" s="107" t="str">
        <f aca="false">IF($C90="","",IF(Dashboard!$C$4="Gemiddeld per maand",$F90,IF(OR($D90="Per maand",$D90="Per week",$D90=""),$F90,IF($D90="Per jaar",IF(3=$W90,$C90,0),IF($D90="Per half jaar",IF(MOD(3-$W90,6)=0,$C90,0),IF($D90="Per kwartaal",IF(MOD(3-$W90,3)=0,$C90,0),$F90))))))</f>
        <v/>
      </c>
      <c r="N90" s="107" t="str">
        <f aca="false">IF($C90="","",IF(Dashboard!$C$4="Gemiddeld per maand",$F90,IF(OR($D90="Per maand",$D90="Per week",$D90=""),$F90,IF($D90="Per jaar",IF(4=$W90,$C90,0),IF($D90="Per half jaar",IF(MOD(4-$W90,6)=0,$C90,0),IF($D90="Per kwartaal",IF(MOD(4-$W90,3)=0,$C90,0),$F90))))))</f>
        <v/>
      </c>
      <c r="O90" s="107" t="str">
        <f aca="false">IF($C90="","",IF(Dashboard!$C$4="Gemiddeld per maand",$F90,IF(OR($D90="Per maand",$D90="Per week",$D90=""),$F90,IF($D90="Per jaar",IF(5=$W90,$C90,0),IF($D90="Per half jaar",IF(MOD(5-$W90,6)=0,$C90,0),IF($D90="Per kwartaal",IF(MOD(5-$W90,3)=0,$C90,0),$F90))))))</f>
        <v/>
      </c>
      <c r="P90" s="107" t="str">
        <f aca="false">IF($C90="","",IF(Dashboard!$C$4="Gemiddeld per maand",$F90,IF(OR($D90="Per maand",$D90="Per week",$D90=""),$F90,IF($D90="Per jaar",IF(6=$W90,$C90,0),IF($D90="Per half jaar",IF(MOD(6-$W90,6)=0,$C90,0),IF($D90="Per kwartaal",IF(MOD(6-$W90,3)=0,$C90,0),$F90))))))</f>
        <v/>
      </c>
      <c r="Q90" s="107" t="str">
        <f aca="false">IF($C90="","",IF(Dashboard!$C$4="Gemiddeld per maand",$F90,IF(OR($D90="Per maand",$D90="Per week",$D90=""),$F90,IF($D90="Per jaar",IF(7=$W90,$C90,0),IF($D90="Per half jaar",IF(MOD(7-$W90,6)=0,$C90,0),IF($D90="Per kwartaal",IF(MOD(7-$W90,3)=0,$C90,0),$F90))))))</f>
        <v/>
      </c>
      <c r="R90" s="107" t="str">
        <f aca="false">IF($C90="","",IF(Dashboard!$C$4="Gemiddeld per maand",$F90,IF(OR($D90="Per maand",$D90="Per week",$D90=""),$F90,IF($D90="Per jaar",IF(8=$W90,$C90,0),IF($D90="Per half jaar",IF(MOD(8-$W90,6)=0,$C90,0),IF($D90="Per kwartaal",IF(MOD(8-$W90,3)=0,$C90,0),$F90))))))</f>
        <v/>
      </c>
      <c r="S90" s="107" t="str">
        <f aca="false">IF($C90="","",IF(Dashboard!$C$4="Gemiddeld per maand",$F90,IF(OR($D90="Per maand",$D90="Per week",$D90=""),$F90,IF($D90="Per jaar",IF(9=$W90,$C90,0),IF($D90="Per half jaar",IF(MOD(9-$W90,6)=0,$C90,0),IF($D90="Per kwartaal",IF(MOD(9-$W90,3)=0,$C90,0),$F90))))))</f>
        <v/>
      </c>
      <c r="T90" s="107" t="str">
        <f aca="false">IF($C90="","",IF(Dashboard!$C$4="Gemiddeld per maand",$F90,IF(OR($D90="Per maand",$D90="Per week",$D90=""),$F90,IF($D90="Per jaar",IF(10=$W90,$C90,0),IF($D90="Per half jaar",IF(MOD(10-$W90,6)=0,$C90,0),IF($D90="Per kwartaal",IF(MOD(10-$W90,3)=0,$C90,0),$F90))))))</f>
        <v/>
      </c>
      <c r="U90" s="107" t="str">
        <f aca="false">IF($C90="","",IF(Dashboard!$C$4="Gemiddeld per maand",$F90,IF(OR($D90="Per maand",$D90="Per week",$D90=""),$F90,IF($D90="Per jaar",IF(11=$W90,$C90,0),IF($D90="Per half jaar",IF(MOD(11-$W90,6)=0,$C90,0),IF($D90="Per kwartaal",IF(MOD(11-$W90,3)=0,$C90,0),$F90))))))</f>
        <v/>
      </c>
      <c r="V90" s="107" t="str">
        <f aca="false">IF($C90="","",IF(Dashboard!$C$4="Gemiddeld per maand",$F90,IF(OR($D90="Per maand",$D90="Per week",$D90=""),$F90,IF($D90="Per jaar",IF(12=$W90,$C90,0),IF($D90="Per half jaar",IF(MOD(12-$W90,6)=0,$C90,0),IF($D90="Per kwartaal",IF(MOD(12-$W90,3)=0,$C90,0),$F90))))))</f>
        <v/>
      </c>
      <c r="W90" s="15" t="n">
        <f aca="false">IF($E90="",1,IFERROR(MATCH($E90,Lijsten!$K$6:$K$17,0),1))</f>
        <v>1</v>
      </c>
    </row>
    <row r="91" customFormat="false" ht="15" hidden="false" customHeight="false" outlineLevel="0" collapsed="false">
      <c r="A91" s="102"/>
      <c r="B91" s="102"/>
      <c r="C91" s="92"/>
      <c r="D91" s="102"/>
      <c r="E91" s="103"/>
      <c r="F91" s="104" t="str">
        <f aca="false">IF($C91="","",IF($D91="Per jaar",$C91/12,IF($D91="Per kwartaal",$C91/3,IF($D91="Per half jaar",$C91/6,IF($D91="Per week",$C91*52/12,$C91)))))</f>
        <v/>
      </c>
      <c r="G91" s="102"/>
      <c r="H91" s="103"/>
      <c r="I91" s="105"/>
      <c r="J91" s="106" t="str">
        <f aca="false">IF($C91="","",IF(Dashboard!$C$4="Gemiddeld per maand",$F91,IF(OR($D91="Per maand",$D91="Per week",$D91=""),$F91,IF($D91="Per jaar",IF(Dashboard!$N$2=$W91,$C91,0),IF($D91="Per half jaar",IF(MOD(Dashboard!$N$2-$W91,6)=0,$C91,0),IF($D91="Per kwartaal",IF(MOD(Dashboard!$N$2-$W91,3)=0,$C91,0),$F91))))))</f>
        <v/>
      </c>
      <c r="K91" s="107" t="str">
        <f aca="false">IF($C91="","",IF(Dashboard!$C$4="Gemiddeld per maand",$F91,IF(OR($D91="Per maand",$D91="Per week",$D91=""),$F91,IF($D91="Per jaar",IF(1=$W91,$C91,0),IF($D91="Per half jaar",IF(MOD(1-$W91,6)=0,$C91,0),IF($D91="Per kwartaal",IF(MOD(1-$W91,3)=0,$C91,0),$F91))))))</f>
        <v/>
      </c>
      <c r="L91" s="107" t="str">
        <f aca="false">IF($C91="","",IF(Dashboard!$C$4="Gemiddeld per maand",$F91,IF(OR($D91="Per maand",$D91="Per week",$D91=""),$F91,IF($D91="Per jaar",IF(2=$W91,$C91,0),IF($D91="Per half jaar",IF(MOD(2-$W91,6)=0,$C91,0),IF($D91="Per kwartaal",IF(MOD(2-$W91,3)=0,$C91,0),$F91))))))</f>
        <v/>
      </c>
      <c r="M91" s="107" t="str">
        <f aca="false">IF($C91="","",IF(Dashboard!$C$4="Gemiddeld per maand",$F91,IF(OR($D91="Per maand",$D91="Per week",$D91=""),$F91,IF($D91="Per jaar",IF(3=$W91,$C91,0),IF($D91="Per half jaar",IF(MOD(3-$W91,6)=0,$C91,0),IF($D91="Per kwartaal",IF(MOD(3-$W91,3)=0,$C91,0),$F91))))))</f>
        <v/>
      </c>
      <c r="N91" s="107" t="str">
        <f aca="false">IF($C91="","",IF(Dashboard!$C$4="Gemiddeld per maand",$F91,IF(OR($D91="Per maand",$D91="Per week",$D91=""),$F91,IF($D91="Per jaar",IF(4=$W91,$C91,0),IF($D91="Per half jaar",IF(MOD(4-$W91,6)=0,$C91,0),IF($D91="Per kwartaal",IF(MOD(4-$W91,3)=0,$C91,0),$F91))))))</f>
        <v/>
      </c>
      <c r="O91" s="107" t="str">
        <f aca="false">IF($C91="","",IF(Dashboard!$C$4="Gemiddeld per maand",$F91,IF(OR($D91="Per maand",$D91="Per week",$D91=""),$F91,IF($D91="Per jaar",IF(5=$W91,$C91,0),IF($D91="Per half jaar",IF(MOD(5-$W91,6)=0,$C91,0),IF($D91="Per kwartaal",IF(MOD(5-$W91,3)=0,$C91,0),$F91))))))</f>
        <v/>
      </c>
      <c r="P91" s="107" t="str">
        <f aca="false">IF($C91="","",IF(Dashboard!$C$4="Gemiddeld per maand",$F91,IF(OR($D91="Per maand",$D91="Per week",$D91=""),$F91,IF($D91="Per jaar",IF(6=$W91,$C91,0),IF($D91="Per half jaar",IF(MOD(6-$W91,6)=0,$C91,0),IF($D91="Per kwartaal",IF(MOD(6-$W91,3)=0,$C91,0),$F91))))))</f>
        <v/>
      </c>
      <c r="Q91" s="107" t="str">
        <f aca="false">IF($C91="","",IF(Dashboard!$C$4="Gemiddeld per maand",$F91,IF(OR($D91="Per maand",$D91="Per week",$D91=""),$F91,IF($D91="Per jaar",IF(7=$W91,$C91,0),IF($D91="Per half jaar",IF(MOD(7-$W91,6)=0,$C91,0),IF($D91="Per kwartaal",IF(MOD(7-$W91,3)=0,$C91,0),$F91))))))</f>
        <v/>
      </c>
      <c r="R91" s="107" t="str">
        <f aca="false">IF($C91="","",IF(Dashboard!$C$4="Gemiddeld per maand",$F91,IF(OR($D91="Per maand",$D91="Per week",$D91=""),$F91,IF($D91="Per jaar",IF(8=$W91,$C91,0),IF($D91="Per half jaar",IF(MOD(8-$W91,6)=0,$C91,0),IF($D91="Per kwartaal",IF(MOD(8-$W91,3)=0,$C91,0),$F91))))))</f>
        <v/>
      </c>
      <c r="S91" s="107" t="str">
        <f aca="false">IF($C91="","",IF(Dashboard!$C$4="Gemiddeld per maand",$F91,IF(OR($D91="Per maand",$D91="Per week",$D91=""),$F91,IF($D91="Per jaar",IF(9=$W91,$C91,0),IF($D91="Per half jaar",IF(MOD(9-$W91,6)=0,$C91,0),IF($D91="Per kwartaal",IF(MOD(9-$W91,3)=0,$C91,0),$F91))))))</f>
        <v/>
      </c>
      <c r="T91" s="107" t="str">
        <f aca="false">IF($C91="","",IF(Dashboard!$C$4="Gemiddeld per maand",$F91,IF(OR($D91="Per maand",$D91="Per week",$D91=""),$F91,IF($D91="Per jaar",IF(10=$W91,$C91,0),IF($D91="Per half jaar",IF(MOD(10-$W91,6)=0,$C91,0),IF($D91="Per kwartaal",IF(MOD(10-$W91,3)=0,$C91,0),$F91))))))</f>
        <v/>
      </c>
      <c r="U91" s="107" t="str">
        <f aca="false">IF($C91="","",IF(Dashboard!$C$4="Gemiddeld per maand",$F91,IF(OR($D91="Per maand",$D91="Per week",$D91=""),$F91,IF($D91="Per jaar",IF(11=$W91,$C91,0),IF($D91="Per half jaar",IF(MOD(11-$W91,6)=0,$C91,0),IF($D91="Per kwartaal",IF(MOD(11-$W91,3)=0,$C91,0),$F91))))))</f>
        <v/>
      </c>
      <c r="V91" s="107" t="str">
        <f aca="false">IF($C91="","",IF(Dashboard!$C$4="Gemiddeld per maand",$F91,IF(OR($D91="Per maand",$D91="Per week",$D91=""),$F91,IF($D91="Per jaar",IF(12=$W91,$C91,0),IF($D91="Per half jaar",IF(MOD(12-$W91,6)=0,$C91,0),IF($D91="Per kwartaal",IF(MOD(12-$W91,3)=0,$C91,0),$F91))))))</f>
        <v/>
      </c>
      <c r="W91" s="15" t="n">
        <f aca="false">IF($E91="",1,IFERROR(MATCH($E91,Lijsten!$K$6:$K$17,0),1))</f>
        <v>1</v>
      </c>
    </row>
    <row r="92" customFormat="false" ht="15" hidden="false" customHeight="false" outlineLevel="0" collapsed="false">
      <c r="A92" s="102"/>
      <c r="B92" s="102"/>
      <c r="C92" s="92"/>
      <c r="D92" s="102"/>
      <c r="E92" s="103"/>
      <c r="F92" s="104" t="str">
        <f aca="false">IF($C92="","",IF($D92="Per jaar",$C92/12,IF($D92="Per kwartaal",$C92/3,IF($D92="Per half jaar",$C92/6,IF($D92="Per week",$C92*52/12,$C92)))))</f>
        <v/>
      </c>
      <c r="G92" s="102"/>
      <c r="H92" s="103"/>
      <c r="I92" s="105"/>
      <c r="J92" s="106" t="str">
        <f aca="false">IF($C92="","",IF(Dashboard!$C$4="Gemiddeld per maand",$F92,IF(OR($D92="Per maand",$D92="Per week",$D92=""),$F92,IF($D92="Per jaar",IF(Dashboard!$N$2=$W92,$C92,0),IF($D92="Per half jaar",IF(MOD(Dashboard!$N$2-$W92,6)=0,$C92,0),IF($D92="Per kwartaal",IF(MOD(Dashboard!$N$2-$W92,3)=0,$C92,0),$F92))))))</f>
        <v/>
      </c>
      <c r="K92" s="107" t="str">
        <f aca="false">IF($C92="","",IF(Dashboard!$C$4="Gemiddeld per maand",$F92,IF(OR($D92="Per maand",$D92="Per week",$D92=""),$F92,IF($D92="Per jaar",IF(1=$W92,$C92,0),IF($D92="Per half jaar",IF(MOD(1-$W92,6)=0,$C92,0),IF($D92="Per kwartaal",IF(MOD(1-$W92,3)=0,$C92,0),$F92))))))</f>
        <v/>
      </c>
      <c r="L92" s="107" t="str">
        <f aca="false">IF($C92="","",IF(Dashboard!$C$4="Gemiddeld per maand",$F92,IF(OR($D92="Per maand",$D92="Per week",$D92=""),$F92,IF($D92="Per jaar",IF(2=$W92,$C92,0),IF($D92="Per half jaar",IF(MOD(2-$W92,6)=0,$C92,0),IF($D92="Per kwartaal",IF(MOD(2-$W92,3)=0,$C92,0),$F92))))))</f>
        <v/>
      </c>
      <c r="M92" s="107" t="str">
        <f aca="false">IF($C92="","",IF(Dashboard!$C$4="Gemiddeld per maand",$F92,IF(OR($D92="Per maand",$D92="Per week",$D92=""),$F92,IF($D92="Per jaar",IF(3=$W92,$C92,0),IF($D92="Per half jaar",IF(MOD(3-$W92,6)=0,$C92,0),IF($D92="Per kwartaal",IF(MOD(3-$W92,3)=0,$C92,0),$F92))))))</f>
        <v/>
      </c>
      <c r="N92" s="107" t="str">
        <f aca="false">IF($C92="","",IF(Dashboard!$C$4="Gemiddeld per maand",$F92,IF(OR($D92="Per maand",$D92="Per week",$D92=""),$F92,IF($D92="Per jaar",IF(4=$W92,$C92,0),IF($D92="Per half jaar",IF(MOD(4-$W92,6)=0,$C92,0),IF($D92="Per kwartaal",IF(MOD(4-$W92,3)=0,$C92,0),$F92))))))</f>
        <v/>
      </c>
      <c r="O92" s="107" t="str">
        <f aca="false">IF($C92="","",IF(Dashboard!$C$4="Gemiddeld per maand",$F92,IF(OR($D92="Per maand",$D92="Per week",$D92=""),$F92,IF($D92="Per jaar",IF(5=$W92,$C92,0),IF($D92="Per half jaar",IF(MOD(5-$W92,6)=0,$C92,0),IF($D92="Per kwartaal",IF(MOD(5-$W92,3)=0,$C92,0),$F92))))))</f>
        <v/>
      </c>
      <c r="P92" s="107" t="str">
        <f aca="false">IF($C92="","",IF(Dashboard!$C$4="Gemiddeld per maand",$F92,IF(OR($D92="Per maand",$D92="Per week",$D92=""),$F92,IF($D92="Per jaar",IF(6=$W92,$C92,0),IF($D92="Per half jaar",IF(MOD(6-$W92,6)=0,$C92,0),IF($D92="Per kwartaal",IF(MOD(6-$W92,3)=0,$C92,0),$F92))))))</f>
        <v/>
      </c>
      <c r="Q92" s="107" t="str">
        <f aca="false">IF($C92="","",IF(Dashboard!$C$4="Gemiddeld per maand",$F92,IF(OR($D92="Per maand",$D92="Per week",$D92=""),$F92,IF($D92="Per jaar",IF(7=$W92,$C92,0),IF($D92="Per half jaar",IF(MOD(7-$W92,6)=0,$C92,0),IF($D92="Per kwartaal",IF(MOD(7-$W92,3)=0,$C92,0),$F92))))))</f>
        <v/>
      </c>
      <c r="R92" s="107" t="str">
        <f aca="false">IF($C92="","",IF(Dashboard!$C$4="Gemiddeld per maand",$F92,IF(OR($D92="Per maand",$D92="Per week",$D92=""),$F92,IF($D92="Per jaar",IF(8=$W92,$C92,0),IF($D92="Per half jaar",IF(MOD(8-$W92,6)=0,$C92,0),IF($D92="Per kwartaal",IF(MOD(8-$W92,3)=0,$C92,0),$F92))))))</f>
        <v/>
      </c>
      <c r="S92" s="107" t="str">
        <f aca="false">IF($C92="","",IF(Dashboard!$C$4="Gemiddeld per maand",$F92,IF(OR($D92="Per maand",$D92="Per week",$D92=""),$F92,IF($D92="Per jaar",IF(9=$W92,$C92,0),IF($D92="Per half jaar",IF(MOD(9-$W92,6)=0,$C92,0),IF($D92="Per kwartaal",IF(MOD(9-$W92,3)=0,$C92,0),$F92))))))</f>
        <v/>
      </c>
      <c r="T92" s="107" t="str">
        <f aca="false">IF($C92="","",IF(Dashboard!$C$4="Gemiddeld per maand",$F92,IF(OR($D92="Per maand",$D92="Per week",$D92=""),$F92,IF($D92="Per jaar",IF(10=$W92,$C92,0),IF($D92="Per half jaar",IF(MOD(10-$W92,6)=0,$C92,0),IF($D92="Per kwartaal",IF(MOD(10-$W92,3)=0,$C92,0),$F92))))))</f>
        <v/>
      </c>
      <c r="U92" s="107" t="str">
        <f aca="false">IF($C92="","",IF(Dashboard!$C$4="Gemiddeld per maand",$F92,IF(OR($D92="Per maand",$D92="Per week",$D92=""),$F92,IF($D92="Per jaar",IF(11=$W92,$C92,0),IF($D92="Per half jaar",IF(MOD(11-$W92,6)=0,$C92,0),IF($D92="Per kwartaal",IF(MOD(11-$W92,3)=0,$C92,0),$F92))))))</f>
        <v/>
      </c>
      <c r="V92" s="107" t="str">
        <f aca="false">IF($C92="","",IF(Dashboard!$C$4="Gemiddeld per maand",$F92,IF(OR($D92="Per maand",$D92="Per week",$D92=""),$F92,IF($D92="Per jaar",IF(12=$W92,$C92,0),IF($D92="Per half jaar",IF(MOD(12-$W92,6)=0,$C92,0),IF($D92="Per kwartaal",IF(MOD(12-$W92,3)=0,$C92,0),$F92))))))</f>
        <v/>
      </c>
      <c r="W92" s="15" t="n">
        <f aca="false">IF($E92="",1,IFERROR(MATCH($E92,Lijsten!$K$6:$K$17,0),1))</f>
        <v>1</v>
      </c>
    </row>
    <row r="93" customFormat="false" ht="15" hidden="false" customHeight="false" outlineLevel="0" collapsed="false">
      <c r="A93" s="102"/>
      <c r="B93" s="102"/>
      <c r="C93" s="92"/>
      <c r="D93" s="102"/>
      <c r="E93" s="103"/>
      <c r="F93" s="104" t="str">
        <f aca="false">IF($C93="","",IF($D93="Per jaar",$C93/12,IF($D93="Per kwartaal",$C93/3,IF($D93="Per half jaar",$C93/6,IF($D93="Per week",$C93*52/12,$C93)))))</f>
        <v/>
      </c>
      <c r="G93" s="102"/>
      <c r="H93" s="103"/>
      <c r="I93" s="105"/>
      <c r="J93" s="106" t="str">
        <f aca="false">IF($C93="","",IF(Dashboard!$C$4="Gemiddeld per maand",$F93,IF(OR($D93="Per maand",$D93="Per week",$D93=""),$F93,IF($D93="Per jaar",IF(Dashboard!$N$2=$W93,$C93,0),IF($D93="Per half jaar",IF(MOD(Dashboard!$N$2-$W93,6)=0,$C93,0),IF($D93="Per kwartaal",IF(MOD(Dashboard!$N$2-$W93,3)=0,$C93,0),$F93))))))</f>
        <v/>
      </c>
      <c r="K93" s="107" t="str">
        <f aca="false">IF($C93="","",IF(Dashboard!$C$4="Gemiddeld per maand",$F93,IF(OR($D93="Per maand",$D93="Per week",$D93=""),$F93,IF($D93="Per jaar",IF(1=$W93,$C93,0),IF($D93="Per half jaar",IF(MOD(1-$W93,6)=0,$C93,0),IF($D93="Per kwartaal",IF(MOD(1-$W93,3)=0,$C93,0),$F93))))))</f>
        <v/>
      </c>
      <c r="L93" s="107" t="str">
        <f aca="false">IF($C93="","",IF(Dashboard!$C$4="Gemiddeld per maand",$F93,IF(OR($D93="Per maand",$D93="Per week",$D93=""),$F93,IF($D93="Per jaar",IF(2=$W93,$C93,0),IF($D93="Per half jaar",IF(MOD(2-$W93,6)=0,$C93,0),IF($D93="Per kwartaal",IF(MOD(2-$W93,3)=0,$C93,0),$F93))))))</f>
        <v/>
      </c>
      <c r="M93" s="107" t="str">
        <f aca="false">IF($C93="","",IF(Dashboard!$C$4="Gemiddeld per maand",$F93,IF(OR($D93="Per maand",$D93="Per week",$D93=""),$F93,IF($D93="Per jaar",IF(3=$W93,$C93,0),IF($D93="Per half jaar",IF(MOD(3-$W93,6)=0,$C93,0),IF($D93="Per kwartaal",IF(MOD(3-$W93,3)=0,$C93,0),$F93))))))</f>
        <v/>
      </c>
      <c r="N93" s="107" t="str">
        <f aca="false">IF($C93="","",IF(Dashboard!$C$4="Gemiddeld per maand",$F93,IF(OR($D93="Per maand",$D93="Per week",$D93=""),$F93,IF($D93="Per jaar",IF(4=$W93,$C93,0),IF($D93="Per half jaar",IF(MOD(4-$W93,6)=0,$C93,0),IF($D93="Per kwartaal",IF(MOD(4-$W93,3)=0,$C93,0),$F93))))))</f>
        <v/>
      </c>
      <c r="O93" s="107" t="str">
        <f aca="false">IF($C93="","",IF(Dashboard!$C$4="Gemiddeld per maand",$F93,IF(OR($D93="Per maand",$D93="Per week",$D93=""),$F93,IF($D93="Per jaar",IF(5=$W93,$C93,0),IF($D93="Per half jaar",IF(MOD(5-$W93,6)=0,$C93,0),IF($D93="Per kwartaal",IF(MOD(5-$W93,3)=0,$C93,0),$F93))))))</f>
        <v/>
      </c>
      <c r="P93" s="107" t="str">
        <f aca="false">IF($C93="","",IF(Dashboard!$C$4="Gemiddeld per maand",$F93,IF(OR($D93="Per maand",$D93="Per week",$D93=""),$F93,IF($D93="Per jaar",IF(6=$W93,$C93,0),IF($D93="Per half jaar",IF(MOD(6-$W93,6)=0,$C93,0),IF($D93="Per kwartaal",IF(MOD(6-$W93,3)=0,$C93,0),$F93))))))</f>
        <v/>
      </c>
      <c r="Q93" s="107" t="str">
        <f aca="false">IF($C93="","",IF(Dashboard!$C$4="Gemiddeld per maand",$F93,IF(OR($D93="Per maand",$D93="Per week",$D93=""),$F93,IF($D93="Per jaar",IF(7=$W93,$C93,0),IF($D93="Per half jaar",IF(MOD(7-$W93,6)=0,$C93,0),IF($D93="Per kwartaal",IF(MOD(7-$W93,3)=0,$C93,0),$F93))))))</f>
        <v/>
      </c>
      <c r="R93" s="107" t="str">
        <f aca="false">IF($C93="","",IF(Dashboard!$C$4="Gemiddeld per maand",$F93,IF(OR($D93="Per maand",$D93="Per week",$D93=""),$F93,IF($D93="Per jaar",IF(8=$W93,$C93,0),IF($D93="Per half jaar",IF(MOD(8-$W93,6)=0,$C93,0),IF($D93="Per kwartaal",IF(MOD(8-$W93,3)=0,$C93,0),$F93))))))</f>
        <v/>
      </c>
      <c r="S93" s="107" t="str">
        <f aca="false">IF($C93="","",IF(Dashboard!$C$4="Gemiddeld per maand",$F93,IF(OR($D93="Per maand",$D93="Per week",$D93=""),$F93,IF($D93="Per jaar",IF(9=$W93,$C93,0),IF($D93="Per half jaar",IF(MOD(9-$W93,6)=0,$C93,0),IF($D93="Per kwartaal",IF(MOD(9-$W93,3)=0,$C93,0),$F93))))))</f>
        <v/>
      </c>
      <c r="T93" s="107" t="str">
        <f aca="false">IF($C93="","",IF(Dashboard!$C$4="Gemiddeld per maand",$F93,IF(OR($D93="Per maand",$D93="Per week",$D93=""),$F93,IF($D93="Per jaar",IF(10=$W93,$C93,0),IF($D93="Per half jaar",IF(MOD(10-$W93,6)=0,$C93,0),IF($D93="Per kwartaal",IF(MOD(10-$W93,3)=0,$C93,0),$F93))))))</f>
        <v/>
      </c>
      <c r="U93" s="107" t="str">
        <f aca="false">IF($C93="","",IF(Dashboard!$C$4="Gemiddeld per maand",$F93,IF(OR($D93="Per maand",$D93="Per week",$D93=""),$F93,IF($D93="Per jaar",IF(11=$W93,$C93,0),IF($D93="Per half jaar",IF(MOD(11-$W93,6)=0,$C93,0),IF($D93="Per kwartaal",IF(MOD(11-$W93,3)=0,$C93,0),$F93))))))</f>
        <v/>
      </c>
      <c r="V93" s="107" t="str">
        <f aca="false">IF($C93="","",IF(Dashboard!$C$4="Gemiddeld per maand",$F93,IF(OR($D93="Per maand",$D93="Per week",$D93=""),$F93,IF($D93="Per jaar",IF(12=$W93,$C93,0),IF($D93="Per half jaar",IF(MOD(12-$W93,6)=0,$C93,0),IF($D93="Per kwartaal",IF(MOD(12-$W93,3)=0,$C93,0),$F93))))))</f>
        <v/>
      </c>
      <c r="W93" s="15" t="n">
        <f aca="false">IF($E93="",1,IFERROR(MATCH($E93,Lijsten!$K$6:$K$17,0),1))</f>
        <v>1</v>
      </c>
    </row>
    <row r="94" customFormat="false" ht="15" hidden="false" customHeight="false" outlineLevel="0" collapsed="false">
      <c r="A94" s="102"/>
      <c r="B94" s="102"/>
      <c r="C94" s="92"/>
      <c r="D94" s="102"/>
      <c r="E94" s="103"/>
      <c r="F94" s="104" t="str">
        <f aca="false">IF($C94="","",IF($D94="Per jaar",$C94/12,IF($D94="Per kwartaal",$C94/3,IF($D94="Per half jaar",$C94/6,IF($D94="Per week",$C94*52/12,$C94)))))</f>
        <v/>
      </c>
      <c r="G94" s="102"/>
      <c r="H94" s="103"/>
      <c r="I94" s="105"/>
      <c r="J94" s="106" t="str">
        <f aca="false">IF($C94="","",IF(Dashboard!$C$4="Gemiddeld per maand",$F94,IF(OR($D94="Per maand",$D94="Per week",$D94=""),$F94,IF($D94="Per jaar",IF(Dashboard!$N$2=$W94,$C94,0),IF($D94="Per half jaar",IF(MOD(Dashboard!$N$2-$W94,6)=0,$C94,0),IF($D94="Per kwartaal",IF(MOD(Dashboard!$N$2-$W94,3)=0,$C94,0),$F94))))))</f>
        <v/>
      </c>
      <c r="K94" s="107" t="str">
        <f aca="false">IF($C94="","",IF(Dashboard!$C$4="Gemiddeld per maand",$F94,IF(OR($D94="Per maand",$D94="Per week",$D94=""),$F94,IF($D94="Per jaar",IF(1=$W94,$C94,0),IF($D94="Per half jaar",IF(MOD(1-$W94,6)=0,$C94,0),IF($D94="Per kwartaal",IF(MOD(1-$W94,3)=0,$C94,0),$F94))))))</f>
        <v/>
      </c>
      <c r="L94" s="107" t="str">
        <f aca="false">IF($C94="","",IF(Dashboard!$C$4="Gemiddeld per maand",$F94,IF(OR($D94="Per maand",$D94="Per week",$D94=""),$F94,IF($D94="Per jaar",IF(2=$W94,$C94,0),IF($D94="Per half jaar",IF(MOD(2-$W94,6)=0,$C94,0),IF($D94="Per kwartaal",IF(MOD(2-$W94,3)=0,$C94,0),$F94))))))</f>
        <v/>
      </c>
      <c r="M94" s="107" t="str">
        <f aca="false">IF($C94="","",IF(Dashboard!$C$4="Gemiddeld per maand",$F94,IF(OR($D94="Per maand",$D94="Per week",$D94=""),$F94,IF($D94="Per jaar",IF(3=$W94,$C94,0),IF($D94="Per half jaar",IF(MOD(3-$W94,6)=0,$C94,0),IF($D94="Per kwartaal",IF(MOD(3-$W94,3)=0,$C94,0),$F94))))))</f>
        <v/>
      </c>
      <c r="N94" s="107" t="str">
        <f aca="false">IF($C94="","",IF(Dashboard!$C$4="Gemiddeld per maand",$F94,IF(OR($D94="Per maand",$D94="Per week",$D94=""),$F94,IF($D94="Per jaar",IF(4=$W94,$C94,0),IF($D94="Per half jaar",IF(MOD(4-$W94,6)=0,$C94,0),IF($D94="Per kwartaal",IF(MOD(4-$W94,3)=0,$C94,0),$F94))))))</f>
        <v/>
      </c>
      <c r="O94" s="107" t="str">
        <f aca="false">IF($C94="","",IF(Dashboard!$C$4="Gemiddeld per maand",$F94,IF(OR($D94="Per maand",$D94="Per week",$D94=""),$F94,IF($D94="Per jaar",IF(5=$W94,$C94,0),IF($D94="Per half jaar",IF(MOD(5-$W94,6)=0,$C94,0),IF($D94="Per kwartaal",IF(MOD(5-$W94,3)=0,$C94,0),$F94))))))</f>
        <v/>
      </c>
      <c r="P94" s="107" t="str">
        <f aca="false">IF($C94="","",IF(Dashboard!$C$4="Gemiddeld per maand",$F94,IF(OR($D94="Per maand",$D94="Per week",$D94=""),$F94,IF($D94="Per jaar",IF(6=$W94,$C94,0),IF($D94="Per half jaar",IF(MOD(6-$W94,6)=0,$C94,0),IF($D94="Per kwartaal",IF(MOD(6-$W94,3)=0,$C94,0),$F94))))))</f>
        <v/>
      </c>
      <c r="Q94" s="107" t="str">
        <f aca="false">IF($C94="","",IF(Dashboard!$C$4="Gemiddeld per maand",$F94,IF(OR($D94="Per maand",$D94="Per week",$D94=""),$F94,IF($D94="Per jaar",IF(7=$W94,$C94,0),IF($D94="Per half jaar",IF(MOD(7-$W94,6)=0,$C94,0),IF($D94="Per kwartaal",IF(MOD(7-$W94,3)=0,$C94,0),$F94))))))</f>
        <v/>
      </c>
      <c r="R94" s="107" t="str">
        <f aca="false">IF($C94="","",IF(Dashboard!$C$4="Gemiddeld per maand",$F94,IF(OR($D94="Per maand",$D94="Per week",$D94=""),$F94,IF($D94="Per jaar",IF(8=$W94,$C94,0),IF($D94="Per half jaar",IF(MOD(8-$W94,6)=0,$C94,0),IF($D94="Per kwartaal",IF(MOD(8-$W94,3)=0,$C94,0),$F94))))))</f>
        <v/>
      </c>
      <c r="S94" s="107" t="str">
        <f aca="false">IF($C94="","",IF(Dashboard!$C$4="Gemiddeld per maand",$F94,IF(OR($D94="Per maand",$D94="Per week",$D94=""),$F94,IF($D94="Per jaar",IF(9=$W94,$C94,0),IF($D94="Per half jaar",IF(MOD(9-$W94,6)=0,$C94,0),IF($D94="Per kwartaal",IF(MOD(9-$W94,3)=0,$C94,0),$F94))))))</f>
        <v/>
      </c>
      <c r="T94" s="107" t="str">
        <f aca="false">IF($C94="","",IF(Dashboard!$C$4="Gemiddeld per maand",$F94,IF(OR($D94="Per maand",$D94="Per week",$D94=""),$F94,IF($D94="Per jaar",IF(10=$W94,$C94,0),IF($D94="Per half jaar",IF(MOD(10-$W94,6)=0,$C94,0),IF($D94="Per kwartaal",IF(MOD(10-$W94,3)=0,$C94,0),$F94))))))</f>
        <v/>
      </c>
      <c r="U94" s="107" t="str">
        <f aca="false">IF($C94="","",IF(Dashboard!$C$4="Gemiddeld per maand",$F94,IF(OR($D94="Per maand",$D94="Per week",$D94=""),$F94,IF($D94="Per jaar",IF(11=$W94,$C94,0),IF($D94="Per half jaar",IF(MOD(11-$W94,6)=0,$C94,0),IF($D94="Per kwartaal",IF(MOD(11-$W94,3)=0,$C94,0),$F94))))))</f>
        <v/>
      </c>
      <c r="V94" s="107" t="str">
        <f aca="false">IF($C94="","",IF(Dashboard!$C$4="Gemiddeld per maand",$F94,IF(OR($D94="Per maand",$D94="Per week",$D94=""),$F94,IF($D94="Per jaar",IF(12=$W94,$C94,0),IF($D94="Per half jaar",IF(MOD(12-$W94,6)=0,$C94,0),IF($D94="Per kwartaal",IF(MOD(12-$W94,3)=0,$C94,0),$F94))))))</f>
        <v/>
      </c>
      <c r="W94" s="15" t="n">
        <f aca="false">IF($E94="",1,IFERROR(MATCH($E94,Lijsten!$K$6:$K$17,0),1))</f>
        <v>1</v>
      </c>
    </row>
    <row r="95" customFormat="false" ht="15" hidden="false" customHeight="false" outlineLevel="0" collapsed="false">
      <c r="A95" s="102"/>
      <c r="B95" s="102"/>
      <c r="C95" s="92"/>
      <c r="D95" s="102"/>
      <c r="E95" s="103"/>
      <c r="F95" s="104" t="str">
        <f aca="false">IF($C95="","",IF($D95="Per jaar",$C95/12,IF($D95="Per kwartaal",$C95/3,IF($D95="Per half jaar",$C95/6,IF($D95="Per week",$C95*52/12,$C95)))))</f>
        <v/>
      </c>
      <c r="G95" s="102"/>
      <c r="H95" s="103"/>
      <c r="I95" s="105"/>
      <c r="J95" s="106" t="str">
        <f aca="false">IF($C95="","",IF(Dashboard!$C$4="Gemiddeld per maand",$F95,IF(OR($D95="Per maand",$D95="Per week",$D95=""),$F95,IF($D95="Per jaar",IF(Dashboard!$N$2=$W95,$C95,0),IF($D95="Per half jaar",IF(MOD(Dashboard!$N$2-$W95,6)=0,$C95,0),IF($D95="Per kwartaal",IF(MOD(Dashboard!$N$2-$W95,3)=0,$C95,0),$F95))))))</f>
        <v/>
      </c>
      <c r="K95" s="107" t="str">
        <f aca="false">IF($C95="","",IF(Dashboard!$C$4="Gemiddeld per maand",$F95,IF(OR($D95="Per maand",$D95="Per week",$D95=""),$F95,IF($D95="Per jaar",IF(1=$W95,$C95,0),IF($D95="Per half jaar",IF(MOD(1-$W95,6)=0,$C95,0),IF($D95="Per kwartaal",IF(MOD(1-$W95,3)=0,$C95,0),$F95))))))</f>
        <v/>
      </c>
      <c r="L95" s="107" t="str">
        <f aca="false">IF($C95="","",IF(Dashboard!$C$4="Gemiddeld per maand",$F95,IF(OR($D95="Per maand",$D95="Per week",$D95=""),$F95,IF($D95="Per jaar",IF(2=$W95,$C95,0),IF($D95="Per half jaar",IF(MOD(2-$W95,6)=0,$C95,0),IF($D95="Per kwartaal",IF(MOD(2-$W95,3)=0,$C95,0),$F95))))))</f>
        <v/>
      </c>
      <c r="M95" s="107" t="str">
        <f aca="false">IF($C95="","",IF(Dashboard!$C$4="Gemiddeld per maand",$F95,IF(OR($D95="Per maand",$D95="Per week",$D95=""),$F95,IF($D95="Per jaar",IF(3=$W95,$C95,0),IF($D95="Per half jaar",IF(MOD(3-$W95,6)=0,$C95,0),IF($D95="Per kwartaal",IF(MOD(3-$W95,3)=0,$C95,0),$F95))))))</f>
        <v/>
      </c>
      <c r="N95" s="107" t="str">
        <f aca="false">IF($C95="","",IF(Dashboard!$C$4="Gemiddeld per maand",$F95,IF(OR($D95="Per maand",$D95="Per week",$D95=""),$F95,IF($D95="Per jaar",IF(4=$W95,$C95,0),IF($D95="Per half jaar",IF(MOD(4-$W95,6)=0,$C95,0),IF($D95="Per kwartaal",IF(MOD(4-$W95,3)=0,$C95,0),$F95))))))</f>
        <v/>
      </c>
      <c r="O95" s="107" t="str">
        <f aca="false">IF($C95="","",IF(Dashboard!$C$4="Gemiddeld per maand",$F95,IF(OR($D95="Per maand",$D95="Per week",$D95=""),$F95,IF($D95="Per jaar",IF(5=$W95,$C95,0),IF($D95="Per half jaar",IF(MOD(5-$W95,6)=0,$C95,0),IF($D95="Per kwartaal",IF(MOD(5-$W95,3)=0,$C95,0),$F95))))))</f>
        <v/>
      </c>
      <c r="P95" s="107" t="str">
        <f aca="false">IF($C95="","",IF(Dashboard!$C$4="Gemiddeld per maand",$F95,IF(OR($D95="Per maand",$D95="Per week",$D95=""),$F95,IF($D95="Per jaar",IF(6=$W95,$C95,0),IF($D95="Per half jaar",IF(MOD(6-$W95,6)=0,$C95,0),IF($D95="Per kwartaal",IF(MOD(6-$W95,3)=0,$C95,0),$F95))))))</f>
        <v/>
      </c>
      <c r="Q95" s="107" t="str">
        <f aca="false">IF($C95="","",IF(Dashboard!$C$4="Gemiddeld per maand",$F95,IF(OR($D95="Per maand",$D95="Per week",$D95=""),$F95,IF($D95="Per jaar",IF(7=$W95,$C95,0),IF($D95="Per half jaar",IF(MOD(7-$W95,6)=0,$C95,0),IF($D95="Per kwartaal",IF(MOD(7-$W95,3)=0,$C95,0),$F95))))))</f>
        <v/>
      </c>
      <c r="R95" s="107" t="str">
        <f aca="false">IF($C95="","",IF(Dashboard!$C$4="Gemiddeld per maand",$F95,IF(OR($D95="Per maand",$D95="Per week",$D95=""),$F95,IF($D95="Per jaar",IF(8=$W95,$C95,0),IF($D95="Per half jaar",IF(MOD(8-$W95,6)=0,$C95,0),IF($D95="Per kwartaal",IF(MOD(8-$W95,3)=0,$C95,0),$F95))))))</f>
        <v/>
      </c>
      <c r="S95" s="107" t="str">
        <f aca="false">IF($C95="","",IF(Dashboard!$C$4="Gemiddeld per maand",$F95,IF(OR($D95="Per maand",$D95="Per week",$D95=""),$F95,IF($D95="Per jaar",IF(9=$W95,$C95,0),IF($D95="Per half jaar",IF(MOD(9-$W95,6)=0,$C95,0),IF($D95="Per kwartaal",IF(MOD(9-$W95,3)=0,$C95,0),$F95))))))</f>
        <v/>
      </c>
      <c r="T95" s="107" t="str">
        <f aca="false">IF($C95="","",IF(Dashboard!$C$4="Gemiddeld per maand",$F95,IF(OR($D95="Per maand",$D95="Per week",$D95=""),$F95,IF($D95="Per jaar",IF(10=$W95,$C95,0),IF($D95="Per half jaar",IF(MOD(10-$W95,6)=0,$C95,0),IF($D95="Per kwartaal",IF(MOD(10-$W95,3)=0,$C95,0),$F95))))))</f>
        <v/>
      </c>
      <c r="U95" s="107" t="str">
        <f aca="false">IF($C95="","",IF(Dashboard!$C$4="Gemiddeld per maand",$F95,IF(OR($D95="Per maand",$D95="Per week",$D95=""),$F95,IF($D95="Per jaar",IF(11=$W95,$C95,0),IF($D95="Per half jaar",IF(MOD(11-$W95,6)=0,$C95,0),IF($D95="Per kwartaal",IF(MOD(11-$W95,3)=0,$C95,0),$F95))))))</f>
        <v/>
      </c>
      <c r="V95" s="107" t="str">
        <f aca="false">IF($C95="","",IF(Dashboard!$C$4="Gemiddeld per maand",$F95,IF(OR($D95="Per maand",$D95="Per week",$D95=""),$F95,IF($D95="Per jaar",IF(12=$W95,$C95,0),IF($D95="Per half jaar",IF(MOD(12-$W95,6)=0,$C95,0),IF($D95="Per kwartaal",IF(MOD(12-$W95,3)=0,$C95,0),$F95))))))</f>
        <v/>
      </c>
      <c r="W95" s="15" t="n">
        <f aca="false">IF($E95="",1,IFERROR(MATCH($E95,Lijsten!$K$6:$K$17,0),1))</f>
        <v>1</v>
      </c>
    </row>
    <row r="96" customFormat="false" ht="15" hidden="false" customHeight="false" outlineLevel="0" collapsed="false">
      <c r="A96" s="102"/>
      <c r="B96" s="102"/>
      <c r="C96" s="92"/>
      <c r="D96" s="102"/>
      <c r="E96" s="103"/>
      <c r="F96" s="104" t="str">
        <f aca="false">IF($C96="","",IF($D96="Per jaar",$C96/12,IF($D96="Per kwartaal",$C96/3,IF($D96="Per half jaar",$C96/6,IF($D96="Per week",$C96*52/12,$C96)))))</f>
        <v/>
      </c>
      <c r="G96" s="102"/>
      <c r="H96" s="103"/>
      <c r="I96" s="105"/>
      <c r="J96" s="106" t="str">
        <f aca="false">IF($C96="","",IF(Dashboard!$C$4="Gemiddeld per maand",$F96,IF(OR($D96="Per maand",$D96="Per week",$D96=""),$F96,IF($D96="Per jaar",IF(Dashboard!$N$2=$W96,$C96,0),IF($D96="Per half jaar",IF(MOD(Dashboard!$N$2-$W96,6)=0,$C96,0),IF($D96="Per kwartaal",IF(MOD(Dashboard!$N$2-$W96,3)=0,$C96,0),$F96))))))</f>
        <v/>
      </c>
      <c r="K96" s="107" t="str">
        <f aca="false">IF($C96="","",IF(Dashboard!$C$4="Gemiddeld per maand",$F96,IF(OR($D96="Per maand",$D96="Per week",$D96=""),$F96,IF($D96="Per jaar",IF(1=$W96,$C96,0),IF($D96="Per half jaar",IF(MOD(1-$W96,6)=0,$C96,0),IF($D96="Per kwartaal",IF(MOD(1-$W96,3)=0,$C96,0),$F96))))))</f>
        <v/>
      </c>
      <c r="L96" s="107" t="str">
        <f aca="false">IF($C96="","",IF(Dashboard!$C$4="Gemiddeld per maand",$F96,IF(OR($D96="Per maand",$D96="Per week",$D96=""),$F96,IF($D96="Per jaar",IF(2=$W96,$C96,0),IF($D96="Per half jaar",IF(MOD(2-$W96,6)=0,$C96,0),IF($D96="Per kwartaal",IF(MOD(2-$W96,3)=0,$C96,0),$F96))))))</f>
        <v/>
      </c>
      <c r="M96" s="107" t="str">
        <f aca="false">IF($C96="","",IF(Dashboard!$C$4="Gemiddeld per maand",$F96,IF(OR($D96="Per maand",$D96="Per week",$D96=""),$F96,IF($D96="Per jaar",IF(3=$W96,$C96,0),IF($D96="Per half jaar",IF(MOD(3-$W96,6)=0,$C96,0),IF($D96="Per kwartaal",IF(MOD(3-$W96,3)=0,$C96,0),$F96))))))</f>
        <v/>
      </c>
      <c r="N96" s="107" t="str">
        <f aca="false">IF($C96="","",IF(Dashboard!$C$4="Gemiddeld per maand",$F96,IF(OR($D96="Per maand",$D96="Per week",$D96=""),$F96,IF($D96="Per jaar",IF(4=$W96,$C96,0),IF($D96="Per half jaar",IF(MOD(4-$W96,6)=0,$C96,0),IF($D96="Per kwartaal",IF(MOD(4-$W96,3)=0,$C96,0),$F96))))))</f>
        <v/>
      </c>
      <c r="O96" s="107" t="str">
        <f aca="false">IF($C96="","",IF(Dashboard!$C$4="Gemiddeld per maand",$F96,IF(OR($D96="Per maand",$D96="Per week",$D96=""),$F96,IF($D96="Per jaar",IF(5=$W96,$C96,0),IF($D96="Per half jaar",IF(MOD(5-$W96,6)=0,$C96,0),IF($D96="Per kwartaal",IF(MOD(5-$W96,3)=0,$C96,0),$F96))))))</f>
        <v/>
      </c>
      <c r="P96" s="107" t="str">
        <f aca="false">IF($C96="","",IF(Dashboard!$C$4="Gemiddeld per maand",$F96,IF(OR($D96="Per maand",$D96="Per week",$D96=""),$F96,IF($D96="Per jaar",IF(6=$W96,$C96,0),IF($D96="Per half jaar",IF(MOD(6-$W96,6)=0,$C96,0),IF($D96="Per kwartaal",IF(MOD(6-$W96,3)=0,$C96,0),$F96))))))</f>
        <v/>
      </c>
      <c r="Q96" s="107" t="str">
        <f aca="false">IF($C96="","",IF(Dashboard!$C$4="Gemiddeld per maand",$F96,IF(OR($D96="Per maand",$D96="Per week",$D96=""),$F96,IF($D96="Per jaar",IF(7=$W96,$C96,0),IF($D96="Per half jaar",IF(MOD(7-$W96,6)=0,$C96,0),IF($D96="Per kwartaal",IF(MOD(7-$W96,3)=0,$C96,0),$F96))))))</f>
        <v/>
      </c>
      <c r="R96" s="107" t="str">
        <f aca="false">IF($C96="","",IF(Dashboard!$C$4="Gemiddeld per maand",$F96,IF(OR($D96="Per maand",$D96="Per week",$D96=""),$F96,IF($D96="Per jaar",IF(8=$W96,$C96,0),IF($D96="Per half jaar",IF(MOD(8-$W96,6)=0,$C96,0),IF($D96="Per kwartaal",IF(MOD(8-$W96,3)=0,$C96,0),$F96))))))</f>
        <v/>
      </c>
      <c r="S96" s="107" t="str">
        <f aca="false">IF($C96="","",IF(Dashboard!$C$4="Gemiddeld per maand",$F96,IF(OR($D96="Per maand",$D96="Per week",$D96=""),$F96,IF($D96="Per jaar",IF(9=$W96,$C96,0),IF($D96="Per half jaar",IF(MOD(9-$W96,6)=0,$C96,0),IF($D96="Per kwartaal",IF(MOD(9-$W96,3)=0,$C96,0),$F96))))))</f>
        <v/>
      </c>
      <c r="T96" s="107" t="str">
        <f aca="false">IF($C96="","",IF(Dashboard!$C$4="Gemiddeld per maand",$F96,IF(OR($D96="Per maand",$D96="Per week",$D96=""),$F96,IF($D96="Per jaar",IF(10=$W96,$C96,0),IF($D96="Per half jaar",IF(MOD(10-$W96,6)=0,$C96,0),IF($D96="Per kwartaal",IF(MOD(10-$W96,3)=0,$C96,0),$F96))))))</f>
        <v/>
      </c>
      <c r="U96" s="107" t="str">
        <f aca="false">IF($C96="","",IF(Dashboard!$C$4="Gemiddeld per maand",$F96,IF(OR($D96="Per maand",$D96="Per week",$D96=""),$F96,IF($D96="Per jaar",IF(11=$W96,$C96,0),IF($D96="Per half jaar",IF(MOD(11-$W96,6)=0,$C96,0),IF($D96="Per kwartaal",IF(MOD(11-$W96,3)=0,$C96,0),$F96))))))</f>
        <v/>
      </c>
      <c r="V96" s="107" t="str">
        <f aca="false">IF($C96="","",IF(Dashboard!$C$4="Gemiddeld per maand",$F96,IF(OR($D96="Per maand",$D96="Per week",$D96=""),$F96,IF($D96="Per jaar",IF(12=$W96,$C96,0),IF($D96="Per half jaar",IF(MOD(12-$W96,6)=0,$C96,0),IF($D96="Per kwartaal",IF(MOD(12-$W96,3)=0,$C96,0),$F96))))))</f>
        <v/>
      </c>
      <c r="W96" s="15" t="n">
        <f aca="false">IF($E96="",1,IFERROR(MATCH($E96,Lijsten!$K$6:$K$17,0),1))</f>
        <v>1</v>
      </c>
    </row>
    <row r="97" customFormat="false" ht="15" hidden="false" customHeight="false" outlineLevel="0" collapsed="false">
      <c r="A97" s="102"/>
      <c r="B97" s="102"/>
      <c r="C97" s="92"/>
      <c r="D97" s="102"/>
      <c r="E97" s="103"/>
      <c r="F97" s="104" t="str">
        <f aca="false">IF($C97="","",IF($D97="Per jaar",$C97/12,IF($D97="Per kwartaal",$C97/3,IF($D97="Per half jaar",$C97/6,IF($D97="Per week",$C97*52/12,$C97)))))</f>
        <v/>
      </c>
      <c r="G97" s="102"/>
      <c r="H97" s="103"/>
      <c r="I97" s="105"/>
      <c r="J97" s="106" t="str">
        <f aca="false">IF($C97="","",IF(Dashboard!$C$4="Gemiddeld per maand",$F97,IF(OR($D97="Per maand",$D97="Per week",$D97=""),$F97,IF($D97="Per jaar",IF(Dashboard!$N$2=$W97,$C97,0),IF($D97="Per half jaar",IF(MOD(Dashboard!$N$2-$W97,6)=0,$C97,0),IF($D97="Per kwartaal",IF(MOD(Dashboard!$N$2-$W97,3)=0,$C97,0),$F97))))))</f>
        <v/>
      </c>
      <c r="K97" s="107" t="str">
        <f aca="false">IF($C97="","",IF(Dashboard!$C$4="Gemiddeld per maand",$F97,IF(OR($D97="Per maand",$D97="Per week",$D97=""),$F97,IF($D97="Per jaar",IF(1=$W97,$C97,0),IF($D97="Per half jaar",IF(MOD(1-$W97,6)=0,$C97,0),IF($D97="Per kwartaal",IF(MOD(1-$W97,3)=0,$C97,0),$F97))))))</f>
        <v/>
      </c>
      <c r="L97" s="107" t="str">
        <f aca="false">IF($C97="","",IF(Dashboard!$C$4="Gemiddeld per maand",$F97,IF(OR($D97="Per maand",$D97="Per week",$D97=""),$F97,IF($D97="Per jaar",IF(2=$W97,$C97,0),IF($D97="Per half jaar",IF(MOD(2-$W97,6)=0,$C97,0),IF($D97="Per kwartaal",IF(MOD(2-$W97,3)=0,$C97,0),$F97))))))</f>
        <v/>
      </c>
      <c r="M97" s="107" t="str">
        <f aca="false">IF($C97="","",IF(Dashboard!$C$4="Gemiddeld per maand",$F97,IF(OR($D97="Per maand",$D97="Per week",$D97=""),$F97,IF($D97="Per jaar",IF(3=$W97,$C97,0),IF($D97="Per half jaar",IF(MOD(3-$W97,6)=0,$C97,0),IF($D97="Per kwartaal",IF(MOD(3-$W97,3)=0,$C97,0),$F97))))))</f>
        <v/>
      </c>
      <c r="N97" s="107" t="str">
        <f aca="false">IF($C97="","",IF(Dashboard!$C$4="Gemiddeld per maand",$F97,IF(OR($D97="Per maand",$D97="Per week",$D97=""),$F97,IF($D97="Per jaar",IF(4=$W97,$C97,0),IF($D97="Per half jaar",IF(MOD(4-$W97,6)=0,$C97,0),IF($D97="Per kwartaal",IF(MOD(4-$W97,3)=0,$C97,0),$F97))))))</f>
        <v/>
      </c>
      <c r="O97" s="107" t="str">
        <f aca="false">IF($C97="","",IF(Dashboard!$C$4="Gemiddeld per maand",$F97,IF(OR($D97="Per maand",$D97="Per week",$D97=""),$F97,IF($D97="Per jaar",IF(5=$W97,$C97,0),IF($D97="Per half jaar",IF(MOD(5-$W97,6)=0,$C97,0),IF($D97="Per kwartaal",IF(MOD(5-$W97,3)=0,$C97,0),$F97))))))</f>
        <v/>
      </c>
      <c r="P97" s="107" t="str">
        <f aca="false">IF($C97="","",IF(Dashboard!$C$4="Gemiddeld per maand",$F97,IF(OR($D97="Per maand",$D97="Per week",$D97=""),$F97,IF($D97="Per jaar",IF(6=$W97,$C97,0),IF($D97="Per half jaar",IF(MOD(6-$W97,6)=0,$C97,0),IF($D97="Per kwartaal",IF(MOD(6-$W97,3)=0,$C97,0),$F97))))))</f>
        <v/>
      </c>
      <c r="Q97" s="107" t="str">
        <f aca="false">IF($C97="","",IF(Dashboard!$C$4="Gemiddeld per maand",$F97,IF(OR($D97="Per maand",$D97="Per week",$D97=""),$F97,IF($D97="Per jaar",IF(7=$W97,$C97,0),IF($D97="Per half jaar",IF(MOD(7-$W97,6)=0,$C97,0),IF($D97="Per kwartaal",IF(MOD(7-$W97,3)=0,$C97,0),$F97))))))</f>
        <v/>
      </c>
      <c r="R97" s="107" t="str">
        <f aca="false">IF($C97="","",IF(Dashboard!$C$4="Gemiddeld per maand",$F97,IF(OR($D97="Per maand",$D97="Per week",$D97=""),$F97,IF($D97="Per jaar",IF(8=$W97,$C97,0),IF($D97="Per half jaar",IF(MOD(8-$W97,6)=0,$C97,0),IF($D97="Per kwartaal",IF(MOD(8-$W97,3)=0,$C97,0),$F97))))))</f>
        <v/>
      </c>
      <c r="S97" s="107" t="str">
        <f aca="false">IF($C97="","",IF(Dashboard!$C$4="Gemiddeld per maand",$F97,IF(OR($D97="Per maand",$D97="Per week",$D97=""),$F97,IF($D97="Per jaar",IF(9=$W97,$C97,0),IF($D97="Per half jaar",IF(MOD(9-$W97,6)=0,$C97,0),IF($D97="Per kwartaal",IF(MOD(9-$W97,3)=0,$C97,0),$F97))))))</f>
        <v/>
      </c>
      <c r="T97" s="107" t="str">
        <f aca="false">IF($C97="","",IF(Dashboard!$C$4="Gemiddeld per maand",$F97,IF(OR($D97="Per maand",$D97="Per week",$D97=""),$F97,IF($D97="Per jaar",IF(10=$W97,$C97,0),IF($D97="Per half jaar",IF(MOD(10-$W97,6)=0,$C97,0),IF($D97="Per kwartaal",IF(MOD(10-$W97,3)=0,$C97,0),$F97))))))</f>
        <v/>
      </c>
      <c r="U97" s="107" t="str">
        <f aca="false">IF($C97="","",IF(Dashboard!$C$4="Gemiddeld per maand",$F97,IF(OR($D97="Per maand",$D97="Per week",$D97=""),$F97,IF($D97="Per jaar",IF(11=$W97,$C97,0),IF($D97="Per half jaar",IF(MOD(11-$W97,6)=0,$C97,0),IF($D97="Per kwartaal",IF(MOD(11-$W97,3)=0,$C97,0),$F97))))))</f>
        <v/>
      </c>
      <c r="V97" s="107" t="str">
        <f aca="false">IF($C97="","",IF(Dashboard!$C$4="Gemiddeld per maand",$F97,IF(OR($D97="Per maand",$D97="Per week",$D97=""),$F97,IF($D97="Per jaar",IF(12=$W97,$C97,0),IF($D97="Per half jaar",IF(MOD(12-$W97,6)=0,$C97,0),IF($D97="Per kwartaal",IF(MOD(12-$W97,3)=0,$C97,0),$F97))))))</f>
        <v/>
      </c>
      <c r="W97" s="15" t="n">
        <f aca="false">IF($E97="",1,IFERROR(MATCH($E97,Lijsten!$K$6:$K$17,0),1))</f>
        <v>1</v>
      </c>
    </row>
    <row r="98" customFormat="false" ht="15" hidden="false" customHeight="false" outlineLevel="0" collapsed="false">
      <c r="A98" s="102"/>
      <c r="B98" s="102"/>
      <c r="C98" s="92"/>
      <c r="D98" s="102"/>
      <c r="E98" s="103"/>
      <c r="F98" s="104" t="str">
        <f aca="false">IF($C98="","",IF($D98="Per jaar",$C98/12,IF($D98="Per kwartaal",$C98/3,IF($D98="Per half jaar",$C98/6,IF($D98="Per week",$C98*52/12,$C98)))))</f>
        <v/>
      </c>
      <c r="G98" s="102"/>
      <c r="H98" s="103"/>
      <c r="I98" s="105"/>
      <c r="J98" s="106" t="str">
        <f aca="false">IF($C98="","",IF(Dashboard!$C$4="Gemiddeld per maand",$F98,IF(OR($D98="Per maand",$D98="Per week",$D98=""),$F98,IF($D98="Per jaar",IF(Dashboard!$N$2=$W98,$C98,0),IF($D98="Per half jaar",IF(MOD(Dashboard!$N$2-$W98,6)=0,$C98,0),IF($D98="Per kwartaal",IF(MOD(Dashboard!$N$2-$W98,3)=0,$C98,0),$F98))))))</f>
        <v/>
      </c>
      <c r="K98" s="107" t="str">
        <f aca="false">IF($C98="","",IF(Dashboard!$C$4="Gemiddeld per maand",$F98,IF(OR($D98="Per maand",$D98="Per week",$D98=""),$F98,IF($D98="Per jaar",IF(1=$W98,$C98,0),IF($D98="Per half jaar",IF(MOD(1-$W98,6)=0,$C98,0),IF($D98="Per kwartaal",IF(MOD(1-$W98,3)=0,$C98,0),$F98))))))</f>
        <v/>
      </c>
      <c r="L98" s="107" t="str">
        <f aca="false">IF($C98="","",IF(Dashboard!$C$4="Gemiddeld per maand",$F98,IF(OR($D98="Per maand",$D98="Per week",$D98=""),$F98,IF($D98="Per jaar",IF(2=$W98,$C98,0),IF($D98="Per half jaar",IF(MOD(2-$W98,6)=0,$C98,0),IF($D98="Per kwartaal",IF(MOD(2-$W98,3)=0,$C98,0),$F98))))))</f>
        <v/>
      </c>
      <c r="M98" s="107" t="str">
        <f aca="false">IF($C98="","",IF(Dashboard!$C$4="Gemiddeld per maand",$F98,IF(OR($D98="Per maand",$D98="Per week",$D98=""),$F98,IF($D98="Per jaar",IF(3=$W98,$C98,0),IF($D98="Per half jaar",IF(MOD(3-$W98,6)=0,$C98,0),IF($D98="Per kwartaal",IF(MOD(3-$W98,3)=0,$C98,0),$F98))))))</f>
        <v/>
      </c>
      <c r="N98" s="107" t="str">
        <f aca="false">IF($C98="","",IF(Dashboard!$C$4="Gemiddeld per maand",$F98,IF(OR($D98="Per maand",$D98="Per week",$D98=""),$F98,IF($D98="Per jaar",IF(4=$W98,$C98,0),IF($D98="Per half jaar",IF(MOD(4-$W98,6)=0,$C98,0),IF($D98="Per kwartaal",IF(MOD(4-$W98,3)=0,$C98,0),$F98))))))</f>
        <v/>
      </c>
      <c r="O98" s="107" t="str">
        <f aca="false">IF($C98="","",IF(Dashboard!$C$4="Gemiddeld per maand",$F98,IF(OR($D98="Per maand",$D98="Per week",$D98=""),$F98,IF($D98="Per jaar",IF(5=$W98,$C98,0),IF($D98="Per half jaar",IF(MOD(5-$W98,6)=0,$C98,0),IF($D98="Per kwartaal",IF(MOD(5-$W98,3)=0,$C98,0),$F98))))))</f>
        <v/>
      </c>
      <c r="P98" s="107" t="str">
        <f aca="false">IF($C98="","",IF(Dashboard!$C$4="Gemiddeld per maand",$F98,IF(OR($D98="Per maand",$D98="Per week",$D98=""),$F98,IF($D98="Per jaar",IF(6=$W98,$C98,0),IF($D98="Per half jaar",IF(MOD(6-$W98,6)=0,$C98,0),IF($D98="Per kwartaal",IF(MOD(6-$W98,3)=0,$C98,0),$F98))))))</f>
        <v/>
      </c>
      <c r="Q98" s="107" t="str">
        <f aca="false">IF($C98="","",IF(Dashboard!$C$4="Gemiddeld per maand",$F98,IF(OR($D98="Per maand",$D98="Per week",$D98=""),$F98,IF($D98="Per jaar",IF(7=$W98,$C98,0),IF($D98="Per half jaar",IF(MOD(7-$W98,6)=0,$C98,0),IF($D98="Per kwartaal",IF(MOD(7-$W98,3)=0,$C98,0),$F98))))))</f>
        <v/>
      </c>
      <c r="R98" s="107" t="str">
        <f aca="false">IF($C98="","",IF(Dashboard!$C$4="Gemiddeld per maand",$F98,IF(OR($D98="Per maand",$D98="Per week",$D98=""),$F98,IF($D98="Per jaar",IF(8=$W98,$C98,0),IF($D98="Per half jaar",IF(MOD(8-$W98,6)=0,$C98,0),IF($D98="Per kwartaal",IF(MOD(8-$W98,3)=0,$C98,0),$F98))))))</f>
        <v/>
      </c>
      <c r="S98" s="107" t="str">
        <f aca="false">IF($C98="","",IF(Dashboard!$C$4="Gemiddeld per maand",$F98,IF(OR($D98="Per maand",$D98="Per week",$D98=""),$F98,IF($D98="Per jaar",IF(9=$W98,$C98,0),IF($D98="Per half jaar",IF(MOD(9-$W98,6)=0,$C98,0),IF($D98="Per kwartaal",IF(MOD(9-$W98,3)=0,$C98,0),$F98))))))</f>
        <v/>
      </c>
      <c r="T98" s="107" t="str">
        <f aca="false">IF($C98="","",IF(Dashboard!$C$4="Gemiddeld per maand",$F98,IF(OR($D98="Per maand",$D98="Per week",$D98=""),$F98,IF($D98="Per jaar",IF(10=$W98,$C98,0),IF($D98="Per half jaar",IF(MOD(10-$W98,6)=0,$C98,0),IF($D98="Per kwartaal",IF(MOD(10-$W98,3)=0,$C98,0),$F98))))))</f>
        <v/>
      </c>
      <c r="U98" s="107" t="str">
        <f aca="false">IF($C98="","",IF(Dashboard!$C$4="Gemiddeld per maand",$F98,IF(OR($D98="Per maand",$D98="Per week",$D98=""),$F98,IF($D98="Per jaar",IF(11=$W98,$C98,0),IF($D98="Per half jaar",IF(MOD(11-$W98,6)=0,$C98,0),IF($D98="Per kwartaal",IF(MOD(11-$W98,3)=0,$C98,0),$F98))))))</f>
        <v/>
      </c>
      <c r="V98" s="107" t="str">
        <f aca="false">IF($C98="","",IF(Dashboard!$C$4="Gemiddeld per maand",$F98,IF(OR($D98="Per maand",$D98="Per week",$D98=""),$F98,IF($D98="Per jaar",IF(12=$W98,$C98,0),IF($D98="Per half jaar",IF(MOD(12-$W98,6)=0,$C98,0),IF($D98="Per kwartaal",IF(MOD(12-$W98,3)=0,$C98,0),$F98))))))</f>
        <v/>
      </c>
      <c r="W98" s="15" t="n">
        <f aca="false">IF($E98="",1,IFERROR(MATCH($E98,Lijsten!$K$6:$K$17,0),1))</f>
        <v>1</v>
      </c>
    </row>
    <row r="99" customFormat="false" ht="15" hidden="false" customHeight="false" outlineLevel="0" collapsed="false">
      <c r="A99" s="102"/>
      <c r="B99" s="102"/>
      <c r="C99" s="92"/>
      <c r="D99" s="102"/>
      <c r="E99" s="103"/>
      <c r="F99" s="104" t="str">
        <f aca="false">IF($C99="","",IF($D99="Per jaar",$C99/12,IF($D99="Per kwartaal",$C99/3,IF($D99="Per half jaar",$C99/6,IF($D99="Per week",$C99*52/12,$C99)))))</f>
        <v/>
      </c>
      <c r="G99" s="102"/>
      <c r="H99" s="103"/>
      <c r="I99" s="105"/>
      <c r="J99" s="106" t="str">
        <f aca="false">IF($C99="","",IF(Dashboard!$C$4="Gemiddeld per maand",$F99,IF(OR($D99="Per maand",$D99="Per week",$D99=""),$F99,IF($D99="Per jaar",IF(Dashboard!$N$2=$W99,$C99,0),IF($D99="Per half jaar",IF(MOD(Dashboard!$N$2-$W99,6)=0,$C99,0),IF($D99="Per kwartaal",IF(MOD(Dashboard!$N$2-$W99,3)=0,$C99,0),$F99))))))</f>
        <v/>
      </c>
      <c r="K99" s="107" t="str">
        <f aca="false">IF($C99="","",IF(Dashboard!$C$4="Gemiddeld per maand",$F99,IF(OR($D99="Per maand",$D99="Per week",$D99=""),$F99,IF($D99="Per jaar",IF(1=$W99,$C99,0),IF($D99="Per half jaar",IF(MOD(1-$W99,6)=0,$C99,0),IF($D99="Per kwartaal",IF(MOD(1-$W99,3)=0,$C99,0),$F99))))))</f>
        <v/>
      </c>
      <c r="L99" s="107" t="str">
        <f aca="false">IF($C99="","",IF(Dashboard!$C$4="Gemiddeld per maand",$F99,IF(OR($D99="Per maand",$D99="Per week",$D99=""),$F99,IF($D99="Per jaar",IF(2=$W99,$C99,0),IF($D99="Per half jaar",IF(MOD(2-$W99,6)=0,$C99,0),IF($D99="Per kwartaal",IF(MOD(2-$W99,3)=0,$C99,0),$F99))))))</f>
        <v/>
      </c>
      <c r="M99" s="107" t="str">
        <f aca="false">IF($C99="","",IF(Dashboard!$C$4="Gemiddeld per maand",$F99,IF(OR($D99="Per maand",$D99="Per week",$D99=""),$F99,IF($D99="Per jaar",IF(3=$W99,$C99,0),IF($D99="Per half jaar",IF(MOD(3-$W99,6)=0,$C99,0),IF($D99="Per kwartaal",IF(MOD(3-$W99,3)=0,$C99,0),$F99))))))</f>
        <v/>
      </c>
      <c r="N99" s="107" t="str">
        <f aca="false">IF($C99="","",IF(Dashboard!$C$4="Gemiddeld per maand",$F99,IF(OR($D99="Per maand",$D99="Per week",$D99=""),$F99,IF($D99="Per jaar",IF(4=$W99,$C99,0),IF($D99="Per half jaar",IF(MOD(4-$W99,6)=0,$C99,0),IF($D99="Per kwartaal",IF(MOD(4-$W99,3)=0,$C99,0),$F99))))))</f>
        <v/>
      </c>
      <c r="O99" s="107" t="str">
        <f aca="false">IF($C99="","",IF(Dashboard!$C$4="Gemiddeld per maand",$F99,IF(OR($D99="Per maand",$D99="Per week",$D99=""),$F99,IF($D99="Per jaar",IF(5=$W99,$C99,0),IF($D99="Per half jaar",IF(MOD(5-$W99,6)=0,$C99,0),IF($D99="Per kwartaal",IF(MOD(5-$W99,3)=0,$C99,0),$F99))))))</f>
        <v/>
      </c>
      <c r="P99" s="107" t="str">
        <f aca="false">IF($C99="","",IF(Dashboard!$C$4="Gemiddeld per maand",$F99,IF(OR($D99="Per maand",$D99="Per week",$D99=""),$F99,IF($D99="Per jaar",IF(6=$W99,$C99,0),IF($D99="Per half jaar",IF(MOD(6-$W99,6)=0,$C99,0),IF($D99="Per kwartaal",IF(MOD(6-$W99,3)=0,$C99,0),$F99))))))</f>
        <v/>
      </c>
      <c r="Q99" s="107" t="str">
        <f aca="false">IF($C99="","",IF(Dashboard!$C$4="Gemiddeld per maand",$F99,IF(OR($D99="Per maand",$D99="Per week",$D99=""),$F99,IF($D99="Per jaar",IF(7=$W99,$C99,0),IF($D99="Per half jaar",IF(MOD(7-$W99,6)=0,$C99,0),IF($D99="Per kwartaal",IF(MOD(7-$W99,3)=0,$C99,0),$F99))))))</f>
        <v/>
      </c>
      <c r="R99" s="107" t="str">
        <f aca="false">IF($C99="","",IF(Dashboard!$C$4="Gemiddeld per maand",$F99,IF(OR($D99="Per maand",$D99="Per week",$D99=""),$F99,IF($D99="Per jaar",IF(8=$W99,$C99,0),IF($D99="Per half jaar",IF(MOD(8-$W99,6)=0,$C99,0),IF($D99="Per kwartaal",IF(MOD(8-$W99,3)=0,$C99,0),$F99))))))</f>
        <v/>
      </c>
      <c r="S99" s="107" t="str">
        <f aca="false">IF($C99="","",IF(Dashboard!$C$4="Gemiddeld per maand",$F99,IF(OR($D99="Per maand",$D99="Per week",$D99=""),$F99,IF($D99="Per jaar",IF(9=$W99,$C99,0),IF($D99="Per half jaar",IF(MOD(9-$W99,6)=0,$C99,0),IF($D99="Per kwartaal",IF(MOD(9-$W99,3)=0,$C99,0),$F99))))))</f>
        <v/>
      </c>
      <c r="T99" s="107" t="str">
        <f aca="false">IF($C99="","",IF(Dashboard!$C$4="Gemiddeld per maand",$F99,IF(OR($D99="Per maand",$D99="Per week",$D99=""),$F99,IF($D99="Per jaar",IF(10=$W99,$C99,0),IF($D99="Per half jaar",IF(MOD(10-$W99,6)=0,$C99,0),IF($D99="Per kwartaal",IF(MOD(10-$W99,3)=0,$C99,0),$F99))))))</f>
        <v/>
      </c>
      <c r="U99" s="107" t="str">
        <f aca="false">IF($C99="","",IF(Dashboard!$C$4="Gemiddeld per maand",$F99,IF(OR($D99="Per maand",$D99="Per week",$D99=""),$F99,IF($D99="Per jaar",IF(11=$W99,$C99,0),IF($D99="Per half jaar",IF(MOD(11-$W99,6)=0,$C99,0),IF($D99="Per kwartaal",IF(MOD(11-$W99,3)=0,$C99,0),$F99))))))</f>
        <v/>
      </c>
      <c r="V99" s="107" t="str">
        <f aca="false">IF($C99="","",IF(Dashboard!$C$4="Gemiddeld per maand",$F99,IF(OR($D99="Per maand",$D99="Per week",$D99=""),$F99,IF($D99="Per jaar",IF(12=$W99,$C99,0),IF($D99="Per half jaar",IF(MOD(12-$W99,6)=0,$C99,0),IF($D99="Per kwartaal",IF(MOD(12-$W99,3)=0,$C99,0),$F99))))))</f>
        <v/>
      </c>
      <c r="W99" s="15" t="n">
        <f aca="false">IF($E99="",1,IFERROR(MATCH($E99,Lijsten!$K$6:$K$17,0),1))</f>
        <v>1</v>
      </c>
    </row>
    <row r="100" customFormat="false" ht="15" hidden="false" customHeight="false" outlineLevel="0" collapsed="false">
      <c r="A100" s="102"/>
      <c r="B100" s="102"/>
      <c r="C100" s="92"/>
      <c r="D100" s="102"/>
      <c r="E100" s="103"/>
      <c r="F100" s="104" t="str">
        <f aca="false">IF($C100="","",IF($D100="Per jaar",$C100/12,IF($D100="Per kwartaal",$C100/3,IF($D100="Per half jaar",$C100/6,IF($D100="Per week",$C100*52/12,$C100)))))</f>
        <v/>
      </c>
      <c r="G100" s="102"/>
      <c r="H100" s="103"/>
      <c r="I100" s="105"/>
      <c r="J100" s="106" t="str">
        <f aca="false">IF($C100="","",IF(Dashboard!$C$4="Gemiddeld per maand",$F100,IF(OR($D100="Per maand",$D100="Per week",$D100=""),$F100,IF($D100="Per jaar",IF(Dashboard!$N$2=$W100,$C100,0),IF($D100="Per half jaar",IF(MOD(Dashboard!$N$2-$W100,6)=0,$C100,0),IF($D100="Per kwartaal",IF(MOD(Dashboard!$N$2-$W100,3)=0,$C100,0),$F100))))))</f>
        <v/>
      </c>
      <c r="K100" s="107" t="str">
        <f aca="false">IF($C100="","",IF(Dashboard!$C$4="Gemiddeld per maand",$F100,IF(OR($D100="Per maand",$D100="Per week",$D100=""),$F100,IF($D100="Per jaar",IF(1=$W100,$C100,0),IF($D100="Per half jaar",IF(MOD(1-$W100,6)=0,$C100,0),IF($D100="Per kwartaal",IF(MOD(1-$W100,3)=0,$C100,0),$F100))))))</f>
        <v/>
      </c>
      <c r="L100" s="107" t="str">
        <f aca="false">IF($C100="","",IF(Dashboard!$C$4="Gemiddeld per maand",$F100,IF(OR($D100="Per maand",$D100="Per week",$D100=""),$F100,IF($D100="Per jaar",IF(2=$W100,$C100,0),IF($D100="Per half jaar",IF(MOD(2-$W100,6)=0,$C100,0),IF($D100="Per kwartaal",IF(MOD(2-$W100,3)=0,$C100,0),$F100))))))</f>
        <v/>
      </c>
      <c r="M100" s="107" t="str">
        <f aca="false">IF($C100="","",IF(Dashboard!$C$4="Gemiddeld per maand",$F100,IF(OR($D100="Per maand",$D100="Per week",$D100=""),$F100,IF($D100="Per jaar",IF(3=$W100,$C100,0),IF($D100="Per half jaar",IF(MOD(3-$W100,6)=0,$C100,0),IF($D100="Per kwartaal",IF(MOD(3-$W100,3)=0,$C100,0),$F100))))))</f>
        <v/>
      </c>
      <c r="N100" s="107" t="str">
        <f aca="false">IF($C100="","",IF(Dashboard!$C$4="Gemiddeld per maand",$F100,IF(OR($D100="Per maand",$D100="Per week",$D100=""),$F100,IF($D100="Per jaar",IF(4=$W100,$C100,0),IF($D100="Per half jaar",IF(MOD(4-$W100,6)=0,$C100,0),IF($D100="Per kwartaal",IF(MOD(4-$W100,3)=0,$C100,0),$F100))))))</f>
        <v/>
      </c>
      <c r="O100" s="107" t="str">
        <f aca="false">IF($C100="","",IF(Dashboard!$C$4="Gemiddeld per maand",$F100,IF(OR($D100="Per maand",$D100="Per week",$D100=""),$F100,IF($D100="Per jaar",IF(5=$W100,$C100,0),IF($D100="Per half jaar",IF(MOD(5-$W100,6)=0,$C100,0),IF($D100="Per kwartaal",IF(MOD(5-$W100,3)=0,$C100,0),$F100))))))</f>
        <v/>
      </c>
      <c r="P100" s="107" t="str">
        <f aca="false">IF($C100="","",IF(Dashboard!$C$4="Gemiddeld per maand",$F100,IF(OR($D100="Per maand",$D100="Per week",$D100=""),$F100,IF($D100="Per jaar",IF(6=$W100,$C100,0),IF($D100="Per half jaar",IF(MOD(6-$W100,6)=0,$C100,0),IF($D100="Per kwartaal",IF(MOD(6-$W100,3)=0,$C100,0),$F100))))))</f>
        <v/>
      </c>
      <c r="Q100" s="107" t="str">
        <f aca="false">IF($C100="","",IF(Dashboard!$C$4="Gemiddeld per maand",$F100,IF(OR($D100="Per maand",$D100="Per week",$D100=""),$F100,IF($D100="Per jaar",IF(7=$W100,$C100,0),IF($D100="Per half jaar",IF(MOD(7-$W100,6)=0,$C100,0),IF($D100="Per kwartaal",IF(MOD(7-$W100,3)=0,$C100,0),$F100))))))</f>
        <v/>
      </c>
      <c r="R100" s="107" t="str">
        <f aca="false">IF($C100="","",IF(Dashboard!$C$4="Gemiddeld per maand",$F100,IF(OR($D100="Per maand",$D100="Per week",$D100=""),$F100,IF($D100="Per jaar",IF(8=$W100,$C100,0),IF($D100="Per half jaar",IF(MOD(8-$W100,6)=0,$C100,0),IF($D100="Per kwartaal",IF(MOD(8-$W100,3)=0,$C100,0),$F100))))))</f>
        <v/>
      </c>
      <c r="S100" s="107" t="str">
        <f aca="false">IF($C100="","",IF(Dashboard!$C$4="Gemiddeld per maand",$F100,IF(OR($D100="Per maand",$D100="Per week",$D100=""),$F100,IF($D100="Per jaar",IF(9=$W100,$C100,0),IF($D100="Per half jaar",IF(MOD(9-$W100,6)=0,$C100,0),IF($D100="Per kwartaal",IF(MOD(9-$W100,3)=0,$C100,0),$F100))))))</f>
        <v/>
      </c>
      <c r="T100" s="107" t="str">
        <f aca="false">IF($C100="","",IF(Dashboard!$C$4="Gemiddeld per maand",$F100,IF(OR($D100="Per maand",$D100="Per week",$D100=""),$F100,IF($D100="Per jaar",IF(10=$W100,$C100,0),IF($D100="Per half jaar",IF(MOD(10-$W100,6)=0,$C100,0),IF($D100="Per kwartaal",IF(MOD(10-$W100,3)=0,$C100,0),$F100))))))</f>
        <v/>
      </c>
      <c r="U100" s="107" t="str">
        <f aca="false">IF($C100="","",IF(Dashboard!$C$4="Gemiddeld per maand",$F100,IF(OR($D100="Per maand",$D100="Per week",$D100=""),$F100,IF($D100="Per jaar",IF(11=$W100,$C100,0),IF($D100="Per half jaar",IF(MOD(11-$W100,6)=0,$C100,0),IF($D100="Per kwartaal",IF(MOD(11-$W100,3)=0,$C100,0),$F100))))))</f>
        <v/>
      </c>
      <c r="V100" s="107" t="str">
        <f aca="false">IF($C100="","",IF(Dashboard!$C$4="Gemiddeld per maand",$F100,IF(OR($D100="Per maand",$D100="Per week",$D100=""),$F100,IF($D100="Per jaar",IF(12=$W100,$C100,0),IF($D100="Per half jaar",IF(MOD(12-$W100,6)=0,$C100,0),IF($D100="Per kwartaal",IF(MOD(12-$W100,3)=0,$C100,0),$F100))))))</f>
        <v/>
      </c>
      <c r="W100" s="15" t="n">
        <f aca="false">IF($E100="",1,IFERROR(MATCH($E100,Lijsten!$K$6:$K$17,0),1))</f>
        <v>1</v>
      </c>
    </row>
    <row r="101" customFormat="false" ht="15" hidden="false" customHeight="false" outlineLevel="0" collapsed="false">
      <c r="A101" s="102"/>
      <c r="B101" s="102"/>
      <c r="C101" s="92"/>
      <c r="D101" s="102"/>
      <c r="E101" s="103"/>
      <c r="F101" s="104" t="str">
        <f aca="false">IF($C101="","",IF($D101="Per jaar",$C101/12,IF($D101="Per kwartaal",$C101/3,IF($D101="Per half jaar",$C101/6,IF($D101="Per week",$C101*52/12,$C101)))))</f>
        <v/>
      </c>
      <c r="G101" s="102"/>
      <c r="H101" s="103"/>
      <c r="I101" s="105"/>
      <c r="J101" s="106" t="str">
        <f aca="false">IF($C101="","",IF(Dashboard!$C$4="Gemiddeld per maand",$F101,IF(OR($D101="Per maand",$D101="Per week",$D101=""),$F101,IF($D101="Per jaar",IF(Dashboard!$N$2=$W101,$C101,0),IF($D101="Per half jaar",IF(MOD(Dashboard!$N$2-$W101,6)=0,$C101,0),IF($D101="Per kwartaal",IF(MOD(Dashboard!$N$2-$W101,3)=0,$C101,0),$F101))))))</f>
        <v/>
      </c>
      <c r="K101" s="107" t="str">
        <f aca="false">IF($C101="","",IF(Dashboard!$C$4="Gemiddeld per maand",$F101,IF(OR($D101="Per maand",$D101="Per week",$D101=""),$F101,IF($D101="Per jaar",IF(1=$W101,$C101,0),IF($D101="Per half jaar",IF(MOD(1-$W101,6)=0,$C101,0),IF($D101="Per kwartaal",IF(MOD(1-$W101,3)=0,$C101,0),$F101))))))</f>
        <v/>
      </c>
      <c r="L101" s="107" t="str">
        <f aca="false">IF($C101="","",IF(Dashboard!$C$4="Gemiddeld per maand",$F101,IF(OR($D101="Per maand",$D101="Per week",$D101=""),$F101,IF($D101="Per jaar",IF(2=$W101,$C101,0),IF($D101="Per half jaar",IF(MOD(2-$W101,6)=0,$C101,0),IF($D101="Per kwartaal",IF(MOD(2-$W101,3)=0,$C101,0),$F101))))))</f>
        <v/>
      </c>
      <c r="M101" s="107" t="str">
        <f aca="false">IF($C101="","",IF(Dashboard!$C$4="Gemiddeld per maand",$F101,IF(OR($D101="Per maand",$D101="Per week",$D101=""),$F101,IF($D101="Per jaar",IF(3=$W101,$C101,0),IF($D101="Per half jaar",IF(MOD(3-$W101,6)=0,$C101,0),IF($D101="Per kwartaal",IF(MOD(3-$W101,3)=0,$C101,0),$F101))))))</f>
        <v/>
      </c>
      <c r="N101" s="107" t="str">
        <f aca="false">IF($C101="","",IF(Dashboard!$C$4="Gemiddeld per maand",$F101,IF(OR($D101="Per maand",$D101="Per week",$D101=""),$F101,IF($D101="Per jaar",IF(4=$W101,$C101,0),IF($D101="Per half jaar",IF(MOD(4-$W101,6)=0,$C101,0),IF($D101="Per kwartaal",IF(MOD(4-$W101,3)=0,$C101,0),$F101))))))</f>
        <v/>
      </c>
      <c r="O101" s="107" t="str">
        <f aca="false">IF($C101="","",IF(Dashboard!$C$4="Gemiddeld per maand",$F101,IF(OR($D101="Per maand",$D101="Per week",$D101=""),$F101,IF($D101="Per jaar",IF(5=$W101,$C101,0),IF($D101="Per half jaar",IF(MOD(5-$W101,6)=0,$C101,0),IF($D101="Per kwartaal",IF(MOD(5-$W101,3)=0,$C101,0),$F101))))))</f>
        <v/>
      </c>
      <c r="P101" s="107" t="str">
        <f aca="false">IF($C101="","",IF(Dashboard!$C$4="Gemiddeld per maand",$F101,IF(OR($D101="Per maand",$D101="Per week",$D101=""),$F101,IF($D101="Per jaar",IF(6=$W101,$C101,0),IF($D101="Per half jaar",IF(MOD(6-$W101,6)=0,$C101,0),IF($D101="Per kwartaal",IF(MOD(6-$W101,3)=0,$C101,0),$F101))))))</f>
        <v/>
      </c>
      <c r="Q101" s="107" t="str">
        <f aca="false">IF($C101="","",IF(Dashboard!$C$4="Gemiddeld per maand",$F101,IF(OR($D101="Per maand",$D101="Per week",$D101=""),$F101,IF($D101="Per jaar",IF(7=$W101,$C101,0),IF($D101="Per half jaar",IF(MOD(7-$W101,6)=0,$C101,0),IF($D101="Per kwartaal",IF(MOD(7-$W101,3)=0,$C101,0),$F101))))))</f>
        <v/>
      </c>
      <c r="R101" s="107" t="str">
        <f aca="false">IF($C101="","",IF(Dashboard!$C$4="Gemiddeld per maand",$F101,IF(OR($D101="Per maand",$D101="Per week",$D101=""),$F101,IF($D101="Per jaar",IF(8=$W101,$C101,0),IF($D101="Per half jaar",IF(MOD(8-$W101,6)=0,$C101,0),IF($D101="Per kwartaal",IF(MOD(8-$W101,3)=0,$C101,0),$F101))))))</f>
        <v/>
      </c>
      <c r="S101" s="107" t="str">
        <f aca="false">IF($C101="","",IF(Dashboard!$C$4="Gemiddeld per maand",$F101,IF(OR($D101="Per maand",$D101="Per week",$D101=""),$F101,IF($D101="Per jaar",IF(9=$W101,$C101,0),IF($D101="Per half jaar",IF(MOD(9-$W101,6)=0,$C101,0),IF($D101="Per kwartaal",IF(MOD(9-$W101,3)=0,$C101,0),$F101))))))</f>
        <v/>
      </c>
      <c r="T101" s="107" t="str">
        <f aca="false">IF($C101="","",IF(Dashboard!$C$4="Gemiddeld per maand",$F101,IF(OR($D101="Per maand",$D101="Per week",$D101=""),$F101,IF($D101="Per jaar",IF(10=$W101,$C101,0),IF($D101="Per half jaar",IF(MOD(10-$W101,6)=0,$C101,0),IF($D101="Per kwartaal",IF(MOD(10-$W101,3)=0,$C101,0),$F101))))))</f>
        <v/>
      </c>
      <c r="U101" s="107" t="str">
        <f aca="false">IF($C101="","",IF(Dashboard!$C$4="Gemiddeld per maand",$F101,IF(OR($D101="Per maand",$D101="Per week",$D101=""),$F101,IF($D101="Per jaar",IF(11=$W101,$C101,0),IF($D101="Per half jaar",IF(MOD(11-$W101,6)=0,$C101,0),IF($D101="Per kwartaal",IF(MOD(11-$W101,3)=0,$C101,0),$F101))))))</f>
        <v/>
      </c>
      <c r="V101" s="107" t="str">
        <f aca="false">IF($C101="","",IF(Dashboard!$C$4="Gemiddeld per maand",$F101,IF(OR($D101="Per maand",$D101="Per week",$D101=""),$F101,IF($D101="Per jaar",IF(12=$W101,$C101,0),IF($D101="Per half jaar",IF(MOD(12-$W101,6)=0,$C101,0),IF($D101="Per kwartaal",IF(MOD(12-$W101,3)=0,$C101,0),$F101))))))</f>
        <v/>
      </c>
      <c r="W101" s="15" t="n">
        <f aca="false">IF($E101="",1,IFERROR(MATCH($E101,Lijsten!$K$6:$K$17,0),1))</f>
        <v>1</v>
      </c>
    </row>
    <row r="102" customFormat="false" ht="15" hidden="false" customHeight="false" outlineLevel="0" collapsed="false">
      <c r="A102" s="102"/>
      <c r="B102" s="102"/>
      <c r="C102" s="92"/>
      <c r="D102" s="102"/>
      <c r="E102" s="103"/>
      <c r="F102" s="104" t="str">
        <f aca="false">IF($C102="","",IF($D102="Per jaar",$C102/12,IF($D102="Per kwartaal",$C102/3,IF($D102="Per half jaar",$C102/6,IF($D102="Per week",$C102*52/12,$C102)))))</f>
        <v/>
      </c>
      <c r="G102" s="102"/>
      <c r="H102" s="103"/>
      <c r="I102" s="105"/>
      <c r="J102" s="106" t="str">
        <f aca="false">IF($C102="","",IF(Dashboard!$C$4="Gemiddeld per maand",$F102,IF(OR($D102="Per maand",$D102="Per week",$D102=""),$F102,IF($D102="Per jaar",IF(Dashboard!$N$2=$W102,$C102,0),IF($D102="Per half jaar",IF(MOD(Dashboard!$N$2-$W102,6)=0,$C102,0),IF($D102="Per kwartaal",IF(MOD(Dashboard!$N$2-$W102,3)=0,$C102,0),$F102))))))</f>
        <v/>
      </c>
      <c r="K102" s="107" t="str">
        <f aca="false">IF($C102="","",IF(Dashboard!$C$4="Gemiddeld per maand",$F102,IF(OR($D102="Per maand",$D102="Per week",$D102=""),$F102,IF($D102="Per jaar",IF(1=$W102,$C102,0),IF($D102="Per half jaar",IF(MOD(1-$W102,6)=0,$C102,0),IF($D102="Per kwartaal",IF(MOD(1-$W102,3)=0,$C102,0),$F102))))))</f>
        <v/>
      </c>
      <c r="L102" s="107" t="str">
        <f aca="false">IF($C102="","",IF(Dashboard!$C$4="Gemiddeld per maand",$F102,IF(OR($D102="Per maand",$D102="Per week",$D102=""),$F102,IF($D102="Per jaar",IF(2=$W102,$C102,0),IF($D102="Per half jaar",IF(MOD(2-$W102,6)=0,$C102,0),IF($D102="Per kwartaal",IF(MOD(2-$W102,3)=0,$C102,0),$F102))))))</f>
        <v/>
      </c>
      <c r="M102" s="107" t="str">
        <f aca="false">IF($C102="","",IF(Dashboard!$C$4="Gemiddeld per maand",$F102,IF(OR($D102="Per maand",$D102="Per week",$D102=""),$F102,IF($D102="Per jaar",IF(3=$W102,$C102,0),IF($D102="Per half jaar",IF(MOD(3-$W102,6)=0,$C102,0),IF($D102="Per kwartaal",IF(MOD(3-$W102,3)=0,$C102,0),$F102))))))</f>
        <v/>
      </c>
      <c r="N102" s="107" t="str">
        <f aca="false">IF($C102="","",IF(Dashboard!$C$4="Gemiddeld per maand",$F102,IF(OR($D102="Per maand",$D102="Per week",$D102=""),$F102,IF($D102="Per jaar",IF(4=$W102,$C102,0),IF($D102="Per half jaar",IF(MOD(4-$W102,6)=0,$C102,0),IF($D102="Per kwartaal",IF(MOD(4-$W102,3)=0,$C102,0),$F102))))))</f>
        <v/>
      </c>
      <c r="O102" s="107" t="str">
        <f aca="false">IF($C102="","",IF(Dashboard!$C$4="Gemiddeld per maand",$F102,IF(OR($D102="Per maand",$D102="Per week",$D102=""),$F102,IF($D102="Per jaar",IF(5=$W102,$C102,0),IF($D102="Per half jaar",IF(MOD(5-$W102,6)=0,$C102,0),IF($D102="Per kwartaal",IF(MOD(5-$W102,3)=0,$C102,0),$F102))))))</f>
        <v/>
      </c>
      <c r="P102" s="107" t="str">
        <f aca="false">IF($C102="","",IF(Dashboard!$C$4="Gemiddeld per maand",$F102,IF(OR($D102="Per maand",$D102="Per week",$D102=""),$F102,IF($D102="Per jaar",IF(6=$W102,$C102,0),IF($D102="Per half jaar",IF(MOD(6-$W102,6)=0,$C102,0),IF($D102="Per kwartaal",IF(MOD(6-$W102,3)=0,$C102,0),$F102))))))</f>
        <v/>
      </c>
      <c r="Q102" s="107" t="str">
        <f aca="false">IF($C102="","",IF(Dashboard!$C$4="Gemiddeld per maand",$F102,IF(OR($D102="Per maand",$D102="Per week",$D102=""),$F102,IF($D102="Per jaar",IF(7=$W102,$C102,0),IF($D102="Per half jaar",IF(MOD(7-$W102,6)=0,$C102,0),IF($D102="Per kwartaal",IF(MOD(7-$W102,3)=0,$C102,0),$F102))))))</f>
        <v/>
      </c>
      <c r="R102" s="107" t="str">
        <f aca="false">IF($C102="","",IF(Dashboard!$C$4="Gemiddeld per maand",$F102,IF(OR($D102="Per maand",$D102="Per week",$D102=""),$F102,IF($D102="Per jaar",IF(8=$W102,$C102,0),IF($D102="Per half jaar",IF(MOD(8-$W102,6)=0,$C102,0),IF($D102="Per kwartaal",IF(MOD(8-$W102,3)=0,$C102,0),$F102))))))</f>
        <v/>
      </c>
      <c r="S102" s="107" t="str">
        <f aca="false">IF($C102="","",IF(Dashboard!$C$4="Gemiddeld per maand",$F102,IF(OR($D102="Per maand",$D102="Per week",$D102=""),$F102,IF($D102="Per jaar",IF(9=$W102,$C102,0),IF($D102="Per half jaar",IF(MOD(9-$W102,6)=0,$C102,0),IF($D102="Per kwartaal",IF(MOD(9-$W102,3)=0,$C102,0),$F102))))))</f>
        <v/>
      </c>
      <c r="T102" s="107" t="str">
        <f aca="false">IF($C102="","",IF(Dashboard!$C$4="Gemiddeld per maand",$F102,IF(OR($D102="Per maand",$D102="Per week",$D102=""),$F102,IF($D102="Per jaar",IF(10=$W102,$C102,0),IF($D102="Per half jaar",IF(MOD(10-$W102,6)=0,$C102,0),IF($D102="Per kwartaal",IF(MOD(10-$W102,3)=0,$C102,0),$F102))))))</f>
        <v/>
      </c>
      <c r="U102" s="107" t="str">
        <f aca="false">IF($C102="","",IF(Dashboard!$C$4="Gemiddeld per maand",$F102,IF(OR($D102="Per maand",$D102="Per week",$D102=""),$F102,IF($D102="Per jaar",IF(11=$W102,$C102,0),IF($D102="Per half jaar",IF(MOD(11-$W102,6)=0,$C102,0),IF($D102="Per kwartaal",IF(MOD(11-$W102,3)=0,$C102,0),$F102))))))</f>
        <v/>
      </c>
      <c r="V102" s="107" t="str">
        <f aca="false">IF($C102="","",IF(Dashboard!$C$4="Gemiddeld per maand",$F102,IF(OR($D102="Per maand",$D102="Per week",$D102=""),$F102,IF($D102="Per jaar",IF(12=$W102,$C102,0),IF($D102="Per half jaar",IF(MOD(12-$W102,6)=0,$C102,0),IF($D102="Per kwartaal",IF(MOD(12-$W102,3)=0,$C102,0),$F102))))))</f>
        <v/>
      </c>
      <c r="W102" s="15" t="n">
        <f aca="false">IF($E102="",1,IFERROR(MATCH($E102,Lijsten!$K$6:$K$17,0),1))</f>
        <v>1</v>
      </c>
    </row>
    <row r="103" customFormat="false" ht="15" hidden="false" customHeight="false" outlineLevel="0" collapsed="false">
      <c r="A103" s="102"/>
      <c r="B103" s="102"/>
      <c r="C103" s="92"/>
      <c r="D103" s="102"/>
      <c r="E103" s="103"/>
      <c r="F103" s="104" t="str">
        <f aca="false">IF($C103="","",IF($D103="Per jaar",$C103/12,IF($D103="Per kwartaal",$C103/3,IF($D103="Per half jaar",$C103/6,IF($D103="Per week",$C103*52/12,$C103)))))</f>
        <v/>
      </c>
      <c r="G103" s="102"/>
      <c r="H103" s="103"/>
      <c r="I103" s="105"/>
      <c r="J103" s="106" t="str">
        <f aca="false">IF($C103="","",IF(Dashboard!$C$4="Gemiddeld per maand",$F103,IF(OR($D103="Per maand",$D103="Per week",$D103=""),$F103,IF($D103="Per jaar",IF(Dashboard!$N$2=$W103,$C103,0),IF($D103="Per half jaar",IF(MOD(Dashboard!$N$2-$W103,6)=0,$C103,0),IF($D103="Per kwartaal",IF(MOD(Dashboard!$N$2-$W103,3)=0,$C103,0),$F103))))))</f>
        <v/>
      </c>
      <c r="K103" s="107" t="str">
        <f aca="false">IF($C103="","",IF(Dashboard!$C$4="Gemiddeld per maand",$F103,IF(OR($D103="Per maand",$D103="Per week",$D103=""),$F103,IF($D103="Per jaar",IF(1=$W103,$C103,0),IF($D103="Per half jaar",IF(MOD(1-$W103,6)=0,$C103,0),IF($D103="Per kwartaal",IF(MOD(1-$W103,3)=0,$C103,0),$F103))))))</f>
        <v/>
      </c>
      <c r="L103" s="107" t="str">
        <f aca="false">IF($C103="","",IF(Dashboard!$C$4="Gemiddeld per maand",$F103,IF(OR($D103="Per maand",$D103="Per week",$D103=""),$F103,IF($D103="Per jaar",IF(2=$W103,$C103,0),IF($D103="Per half jaar",IF(MOD(2-$W103,6)=0,$C103,0),IF($D103="Per kwartaal",IF(MOD(2-$W103,3)=0,$C103,0),$F103))))))</f>
        <v/>
      </c>
      <c r="M103" s="107" t="str">
        <f aca="false">IF($C103="","",IF(Dashboard!$C$4="Gemiddeld per maand",$F103,IF(OR($D103="Per maand",$D103="Per week",$D103=""),$F103,IF($D103="Per jaar",IF(3=$W103,$C103,0),IF($D103="Per half jaar",IF(MOD(3-$W103,6)=0,$C103,0),IF($D103="Per kwartaal",IF(MOD(3-$W103,3)=0,$C103,0),$F103))))))</f>
        <v/>
      </c>
      <c r="N103" s="107" t="str">
        <f aca="false">IF($C103="","",IF(Dashboard!$C$4="Gemiddeld per maand",$F103,IF(OR($D103="Per maand",$D103="Per week",$D103=""),$F103,IF($D103="Per jaar",IF(4=$W103,$C103,0),IF($D103="Per half jaar",IF(MOD(4-$W103,6)=0,$C103,0),IF($D103="Per kwartaal",IF(MOD(4-$W103,3)=0,$C103,0),$F103))))))</f>
        <v/>
      </c>
      <c r="O103" s="107" t="str">
        <f aca="false">IF($C103="","",IF(Dashboard!$C$4="Gemiddeld per maand",$F103,IF(OR($D103="Per maand",$D103="Per week",$D103=""),$F103,IF($D103="Per jaar",IF(5=$W103,$C103,0),IF($D103="Per half jaar",IF(MOD(5-$W103,6)=0,$C103,0),IF($D103="Per kwartaal",IF(MOD(5-$W103,3)=0,$C103,0),$F103))))))</f>
        <v/>
      </c>
      <c r="P103" s="107" t="str">
        <f aca="false">IF($C103="","",IF(Dashboard!$C$4="Gemiddeld per maand",$F103,IF(OR($D103="Per maand",$D103="Per week",$D103=""),$F103,IF($D103="Per jaar",IF(6=$W103,$C103,0),IF($D103="Per half jaar",IF(MOD(6-$W103,6)=0,$C103,0),IF($D103="Per kwartaal",IF(MOD(6-$W103,3)=0,$C103,0),$F103))))))</f>
        <v/>
      </c>
      <c r="Q103" s="107" t="str">
        <f aca="false">IF($C103="","",IF(Dashboard!$C$4="Gemiddeld per maand",$F103,IF(OR($D103="Per maand",$D103="Per week",$D103=""),$F103,IF($D103="Per jaar",IF(7=$W103,$C103,0),IF($D103="Per half jaar",IF(MOD(7-$W103,6)=0,$C103,0),IF($D103="Per kwartaal",IF(MOD(7-$W103,3)=0,$C103,0),$F103))))))</f>
        <v/>
      </c>
      <c r="R103" s="107" t="str">
        <f aca="false">IF($C103="","",IF(Dashboard!$C$4="Gemiddeld per maand",$F103,IF(OR($D103="Per maand",$D103="Per week",$D103=""),$F103,IF($D103="Per jaar",IF(8=$W103,$C103,0),IF($D103="Per half jaar",IF(MOD(8-$W103,6)=0,$C103,0),IF($D103="Per kwartaal",IF(MOD(8-$W103,3)=0,$C103,0),$F103))))))</f>
        <v/>
      </c>
      <c r="S103" s="107" t="str">
        <f aca="false">IF($C103="","",IF(Dashboard!$C$4="Gemiddeld per maand",$F103,IF(OR($D103="Per maand",$D103="Per week",$D103=""),$F103,IF($D103="Per jaar",IF(9=$W103,$C103,0),IF($D103="Per half jaar",IF(MOD(9-$W103,6)=0,$C103,0),IF($D103="Per kwartaal",IF(MOD(9-$W103,3)=0,$C103,0),$F103))))))</f>
        <v/>
      </c>
      <c r="T103" s="107" t="str">
        <f aca="false">IF($C103="","",IF(Dashboard!$C$4="Gemiddeld per maand",$F103,IF(OR($D103="Per maand",$D103="Per week",$D103=""),$F103,IF($D103="Per jaar",IF(10=$W103,$C103,0),IF($D103="Per half jaar",IF(MOD(10-$W103,6)=0,$C103,0),IF($D103="Per kwartaal",IF(MOD(10-$W103,3)=0,$C103,0),$F103))))))</f>
        <v/>
      </c>
      <c r="U103" s="107" t="str">
        <f aca="false">IF($C103="","",IF(Dashboard!$C$4="Gemiddeld per maand",$F103,IF(OR($D103="Per maand",$D103="Per week",$D103=""),$F103,IF($D103="Per jaar",IF(11=$W103,$C103,0),IF($D103="Per half jaar",IF(MOD(11-$W103,6)=0,$C103,0),IF($D103="Per kwartaal",IF(MOD(11-$W103,3)=0,$C103,0),$F103))))))</f>
        <v/>
      </c>
      <c r="V103" s="107" t="str">
        <f aca="false">IF($C103="","",IF(Dashboard!$C$4="Gemiddeld per maand",$F103,IF(OR($D103="Per maand",$D103="Per week",$D103=""),$F103,IF($D103="Per jaar",IF(12=$W103,$C103,0),IF($D103="Per half jaar",IF(MOD(12-$W103,6)=0,$C103,0),IF($D103="Per kwartaal",IF(MOD(12-$W103,3)=0,$C103,0),$F103))))))</f>
        <v/>
      </c>
      <c r="W103" s="15" t="n">
        <f aca="false">IF($E103="",1,IFERROR(MATCH($E103,Lijsten!$K$6:$K$17,0),1))</f>
        <v>1</v>
      </c>
    </row>
    <row r="104" customFormat="false" ht="15" hidden="false" customHeight="false" outlineLevel="0" collapsed="false">
      <c r="A104" s="102"/>
      <c r="B104" s="102"/>
      <c r="C104" s="92"/>
      <c r="D104" s="102"/>
      <c r="E104" s="103"/>
      <c r="F104" s="104" t="str">
        <f aca="false">IF($C104="","",IF($D104="Per jaar",$C104/12,IF($D104="Per kwartaal",$C104/3,IF($D104="Per half jaar",$C104/6,IF($D104="Per week",$C104*52/12,$C104)))))</f>
        <v/>
      </c>
      <c r="G104" s="102"/>
      <c r="H104" s="103"/>
      <c r="I104" s="105"/>
      <c r="J104" s="106" t="str">
        <f aca="false">IF($C104="","",IF(Dashboard!$C$4="Gemiddeld per maand",$F104,IF(OR($D104="Per maand",$D104="Per week",$D104=""),$F104,IF($D104="Per jaar",IF(Dashboard!$N$2=$W104,$C104,0),IF($D104="Per half jaar",IF(MOD(Dashboard!$N$2-$W104,6)=0,$C104,0),IF($D104="Per kwartaal",IF(MOD(Dashboard!$N$2-$W104,3)=0,$C104,0),$F104))))))</f>
        <v/>
      </c>
      <c r="K104" s="107" t="str">
        <f aca="false">IF($C104="","",IF(Dashboard!$C$4="Gemiddeld per maand",$F104,IF(OR($D104="Per maand",$D104="Per week",$D104=""),$F104,IF($D104="Per jaar",IF(1=$W104,$C104,0),IF($D104="Per half jaar",IF(MOD(1-$W104,6)=0,$C104,0),IF($D104="Per kwartaal",IF(MOD(1-$W104,3)=0,$C104,0),$F104))))))</f>
        <v/>
      </c>
      <c r="L104" s="107" t="str">
        <f aca="false">IF($C104="","",IF(Dashboard!$C$4="Gemiddeld per maand",$F104,IF(OR($D104="Per maand",$D104="Per week",$D104=""),$F104,IF($D104="Per jaar",IF(2=$W104,$C104,0),IF($D104="Per half jaar",IF(MOD(2-$W104,6)=0,$C104,0),IF($D104="Per kwartaal",IF(MOD(2-$W104,3)=0,$C104,0),$F104))))))</f>
        <v/>
      </c>
      <c r="M104" s="107" t="str">
        <f aca="false">IF($C104="","",IF(Dashboard!$C$4="Gemiddeld per maand",$F104,IF(OR($D104="Per maand",$D104="Per week",$D104=""),$F104,IF($D104="Per jaar",IF(3=$W104,$C104,0),IF($D104="Per half jaar",IF(MOD(3-$W104,6)=0,$C104,0),IF($D104="Per kwartaal",IF(MOD(3-$W104,3)=0,$C104,0),$F104))))))</f>
        <v/>
      </c>
      <c r="N104" s="107" t="str">
        <f aca="false">IF($C104="","",IF(Dashboard!$C$4="Gemiddeld per maand",$F104,IF(OR($D104="Per maand",$D104="Per week",$D104=""),$F104,IF($D104="Per jaar",IF(4=$W104,$C104,0),IF($D104="Per half jaar",IF(MOD(4-$W104,6)=0,$C104,0),IF($D104="Per kwartaal",IF(MOD(4-$W104,3)=0,$C104,0),$F104))))))</f>
        <v/>
      </c>
      <c r="O104" s="107" t="str">
        <f aca="false">IF($C104="","",IF(Dashboard!$C$4="Gemiddeld per maand",$F104,IF(OR($D104="Per maand",$D104="Per week",$D104=""),$F104,IF($D104="Per jaar",IF(5=$W104,$C104,0),IF($D104="Per half jaar",IF(MOD(5-$W104,6)=0,$C104,0),IF($D104="Per kwartaal",IF(MOD(5-$W104,3)=0,$C104,0),$F104))))))</f>
        <v/>
      </c>
      <c r="P104" s="107" t="str">
        <f aca="false">IF($C104="","",IF(Dashboard!$C$4="Gemiddeld per maand",$F104,IF(OR($D104="Per maand",$D104="Per week",$D104=""),$F104,IF($D104="Per jaar",IF(6=$W104,$C104,0),IF($D104="Per half jaar",IF(MOD(6-$W104,6)=0,$C104,0),IF($D104="Per kwartaal",IF(MOD(6-$W104,3)=0,$C104,0),$F104))))))</f>
        <v/>
      </c>
      <c r="Q104" s="107" t="str">
        <f aca="false">IF($C104="","",IF(Dashboard!$C$4="Gemiddeld per maand",$F104,IF(OR($D104="Per maand",$D104="Per week",$D104=""),$F104,IF($D104="Per jaar",IF(7=$W104,$C104,0),IF($D104="Per half jaar",IF(MOD(7-$W104,6)=0,$C104,0),IF($D104="Per kwartaal",IF(MOD(7-$W104,3)=0,$C104,0),$F104))))))</f>
        <v/>
      </c>
      <c r="R104" s="107" t="str">
        <f aca="false">IF($C104="","",IF(Dashboard!$C$4="Gemiddeld per maand",$F104,IF(OR($D104="Per maand",$D104="Per week",$D104=""),$F104,IF($D104="Per jaar",IF(8=$W104,$C104,0),IF($D104="Per half jaar",IF(MOD(8-$W104,6)=0,$C104,0),IF($D104="Per kwartaal",IF(MOD(8-$W104,3)=0,$C104,0),$F104))))))</f>
        <v/>
      </c>
      <c r="S104" s="107" t="str">
        <f aca="false">IF($C104="","",IF(Dashboard!$C$4="Gemiddeld per maand",$F104,IF(OR($D104="Per maand",$D104="Per week",$D104=""),$F104,IF($D104="Per jaar",IF(9=$W104,$C104,0),IF($D104="Per half jaar",IF(MOD(9-$W104,6)=0,$C104,0),IF($D104="Per kwartaal",IF(MOD(9-$W104,3)=0,$C104,0),$F104))))))</f>
        <v/>
      </c>
      <c r="T104" s="107" t="str">
        <f aca="false">IF($C104="","",IF(Dashboard!$C$4="Gemiddeld per maand",$F104,IF(OR($D104="Per maand",$D104="Per week",$D104=""),$F104,IF($D104="Per jaar",IF(10=$W104,$C104,0),IF($D104="Per half jaar",IF(MOD(10-$W104,6)=0,$C104,0),IF($D104="Per kwartaal",IF(MOD(10-$W104,3)=0,$C104,0),$F104))))))</f>
        <v/>
      </c>
      <c r="U104" s="107" t="str">
        <f aca="false">IF($C104="","",IF(Dashboard!$C$4="Gemiddeld per maand",$F104,IF(OR($D104="Per maand",$D104="Per week",$D104=""),$F104,IF($D104="Per jaar",IF(11=$W104,$C104,0),IF($D104="Per half jaar",IF(MOD(11-$W104,6)=0,$C104,0),IF($D104="Per kwartaal",IF(MOD(11-$W104,3)=0,$C104,0),$F104))))))</f>
        <v/>
      </c>
      <c r="V104" s="107" t="str">
        <f aca="false">IF($C104="","",IF(Dashboard!$C$4="Gemiddeld per maand",$F104,IF(OR($D104="Per maand",$D104="Per week",$D104=""),$F104,IF($D104="Per jaar",IF(12=$W104,$C104,0),IF($D104="Per half jaar",IF(MOD(12-$W104,6)=0,$C104,0),IF($D104="Per kwartaal",IF(MOD(12-$W104,3)=0,$C104,0),$F104))))))</f>
        <v/>
      </c>
      <c r="W104" s="15" t="n">
        <f aca="false">IF($E104="",1,IFERROR(MATCH($E104,Lijsten!$K$6:$K$17,0),1))</f>
        <v>1</v>
      </c>
    </row>
    <row r="105" customFormat="false" ht="15" hidden="false" customHeight="false" outlineLevel="0" collapsed="false">
      <c r="A105" s="102"/>
      <c r="B105" s="102"/>
      <c r="C105" s="92"/>
      <c r="D105" s="102"/>
      <c r="E105" s="103"/>
      <c r="F105" s="104" t="str">
        <f aca="false">IF($C105="","",IF($D105="Per jaar",$C105/12,IF($D105="Per kwartaal",$C105/3,IF($D105="Per half jaar",$C105/6,IF($D105="Per week",$C105*52/12,$C105)))))</f>
        <v/>
      </c>
      <c r="G105" s="102"/>
      <c r="H105" s="103"/>
      <c r="I105" s="105"/>
      <c r="J105" s="106" t="str">
        <f aca="false">IF($C105="","",IF(Dashboard!$C$4="Gemiddeld per maand",$F105,IF(OR($D105="Per maand",$D105="Per week",$D105=""),$F105,IF($D105="Per jaar",IF(Dashboard!$N$2=$W105,$C105,0),IF($D105="Per half jaar",IF(MOD(Dashboard!$N$2-$W105,6)=0,$C105,0),IF($D105="Per kwartaal",IF(MOD(Dashboard!$N$2-$W105,3)=0,$C105,0),$F105))))))</f>
        <v/>
      </c>
      <c r="K105" s="107" t="str">
        <f aca="false">IF($C105="","",IF(Dashboard!$C$4="Gemiddeld per maand",$F105,IF(OR($D105="Per maand",$D105="Per week",$D105=""),$F105,IF($D105="Per jaar",IF(1=$W105,$C105,0),IF($D105="Per half jaar",IF(MOD(1-$W105,6)=0,$C105,0),IF($D105="Per kwartaal",IF(MOD(1-$W105,3)=0,$C105,0),$F105))))))</f>
        <v/>
      </c>
      <c r="L105" s="107" t="str">
        <f aca="false">IF($C105="","",IF(Dashboard!$C$4="Gemiddeld per maand",$F105,IF(OR($D105="Per maand",$D105="Per week",$D105=""),$F105,IF($D105="Per jaar",IF(2=$W105,$C105,0),IF($D105="Per half jaar",IF(MOD(2-$W105,6)=0,$C105,0),IF($D105="Per kwartaal",IF(MOD(2-$W105,3)=0,$C105,0),$F105))))))</f>
        <v/>
      </c>
      <c r="M105" s="107" t="str">
        <f aca="false">IF($C105="","",IF(Dashboard!$C$4="Gemiddeld per maand",$F105,IF(OR($D105="Per maand",$D105="Per week",$D105=""),$F105,IF($D105="Per jaar",IF(3=$W105,$C105,0),IF($D105="Per half jaar",IF(MOD(3-$W105,6)=0,$C105,0),IF($D105="Per kwartaal",IF(MOD(3-$W105,3)=0,$C105,0),$F105))))))</f>
        <v/>
      </c>
      <c r="N105" s="107" t="str">
        <f aca="false">IF($C105="","",IF(Dashboard!$C$4="Gemiddeld per maand",$F105,IF(OR($D105="Per maand",$D105="Per week",$D105=""),$F105,IF($D105="Per jaar",IF(4=$W105,$C105,0),IF($D105="Per half jaar",IF(MOD(4-$W105,6)=0,$C105,0),IF($D105="Per kwartaal",IF(MOD(4-$W105,3)=0,$C105,0),$F105))))))</f>
        <v/>
      </c>
      <c r="O105" s="107" t="str">
        <f aca="false">IF($C105="","",IF(Dashboard!$C$4="Gemiddeld per maand",$F105,IF(OR($D105="Per maand",$D105="Per week",$D105=""),$F105,IF($D105="Per jaar",IF(5=$W105,$C105,0),IF($D105="Per half jaar",IF(MOD(5-$W105,6)=0,$C105,0),IF($D105="Per kwartaal",IF(MOD(5-$W105,3)=0,$C105,0),$F105))))))</f>
        <v/>
      </c>
      <c r="P105" s="107" t="str">
        <f aca="false">IF($C105="","",IF(Dashboard!$C$4="Gemiddeld per maand",$F105,IF(OR($D105="Per maand",$D105="Per week",$D105=""),$F105,IF($D105="Per jaar",IF(6=$W105,$C105,0),IF($D105="Per half jaar",IF(MOD(6-$W105,6)=0,$C105,0),IF($D105="Per kwartaal",IF(MOD(6-$W105,3)=0,$C105,0),$F105))))))</f>
        <v/>
      </c>
      <c r="Q105" s="107" t="str">
        <f aca="false">IF($C105="","",IF(Dashboard!$C$4="Gemiddeld per maand",$F105,IF(OR($D105="Per maand",$D105="Per week",$D105=""),$F105,IF($D105="Per jaar",IF(7=$W105,$C105,0),IF($D105="Per half jaar",IF(MOD(7-$W105,6)=0,$C105,0),IF($D105="Per kwartaal",IF(MOD(7-$W105,3)=0,$C105,0),$F105))))))</f>
        <v/>
      </c>
      <c r="R105" s="107" t="str">
        <f aca="false">IF($C105="","",IF(Dashboard!$C$4="Gemiddeld per maand",$F105,IF(OR($D105="Per maand",$D105="Per week",$D105=""),$F105,IF($D105="Per jaar",IF(8=$W105,$C105,0),IF($D105="Per half jaar",IF(MOD(8-$W105,6)=0,$C105,0),IF($D105="Per kwartaal",IF(MOD(8-$W105,3)=0,$C105,0),$F105))))))</f>
        <v/>
      </c>
      <c r="S105" s="107" t="str">
        <f aca="false">IF($C105="","",IF(Dashboard!$C$4="Gemiddeld per maand",$F105,IF(OR($D105="Per maand",$D105="Per week",$D105=""),$F105,IF($D105="Per jaar",IF(9=$W105,$C105,0),IF($D105="Per half jaar",IF(MOD(9-$W105,6)=0,$C105,0),IF($D105="Per kwartaal",IF(MOD(9-$W105,3)=0,$C105,0),$F105))))))</f>
        <v/>
      </c>
      <c r="T105" s="107" t="str">
        <f aca="false">IF($C105="","",IF(Dashboard!$C$4="Gemiddeld per maand",$F105,IF(OR($D105="Per maand",$D105="Per week",$D105=""),$F105,IF($D105="Per jaar",IF(10=$W105,$C105,0),IF($D105="Per half jaar",IF(MOD(10-$W105,6)=0,$C105,0),IF($D105="Per kwartaal",IF(MOD(10-$W105,3)=0,$C105,0),$F105))))))</f>
        <v/>
      </c>
      <c r="U105" s="107" t="str">
        <f aca="false">IF($C105="","",IF(Dashboard!$C$4="Gemiddeld per maand",$F105,IF(OR($D105="Per maand",$D105="Per week",$D105=""),$F105,IF($D105="Per jaar",IF(11=$W105,$C105,0),IF($D105="Per half jaar",IF(MOD(11-$W105,6)=0,$C105,0),IF($D105="Per kwartaal",IF(MOD(11-$W105,3)=0,$C105,0),$F105))))))</f>
        <v/>
      </c>
      <c r="V105" s="107" t="str">
        <f aca="false">IF($C105="","",IF(Dashboard!$C$4="Gemiddeld per maand",$F105,IF(OR($D105="Per maand",$D105="Per week",$D105=""),$F105,IF($D105="Per jaar",IF(12=$W105,$C105,0),IF($D105="Per half jaar",IF(MOD(12-$W105,6)=0,$C105,0),IF($D105="Per kwartaal",IF(MOD(12-$W105,3)=0,$C105,0),$F105))))))</f>
        <v/>
      </c>
      <c r="W105" s="15" t="n">
        <f aca="false">IF($E105="",1,IFERROR(MATCH($E105,Lijsten!$K$6:$K$17,0),1))</f>
        <v>1</v>
      </c>
    </row>
    <row r="106" customFormat="false" ht="15" hidden="false" customHeight="false" outlineLevel="0" collapsed="false">
      <c r="A106" s="102"/>
      <c r="B106" s="102"/>
      <c r="C106" s="92"/>
      <c r="D106" s="102"/>
      <c r="E106" s="103"/>
      <c r="F106" s="104" t="str">
        <f aca="false">IF($C106="","",IF($D106="Per jaar",$C106/12,IF($D106="Per kwartaal",$C106/3,IF($D106="Per half jaar",$C106/6,IF($D106="Per week",$C106*52/12,$C106)))))</f>
        <v/>
      </c>
      <c r="G106" s="102"/>
      <c r="H106" s="103"/>
      <c r="I106" s="105"/>
      <c r="J106" s="106" t="str">
        <f aca="false">IF($C106="","",IF(Dashboard!$C$4="Gemiddeld per maand",$F106,IF(OR($D106="Per maand",$D106="Per week",$D106=""),$F106,IF($D106="Per jaar",IF(Dashboard!$N$2=$W106,$C106,0),IF($D106="Per half jaar",IF(MOD(Dashboard!$N$2-$W106,6)=0,$C106,0),IF($D106="Per kwartaal",IF(MOD(Dashboard!$N$2-$W106,3)=0,$C106,0),$F106))))))</f>
        <v/>
      </c>
      <c r="K106" s="107" t="str">
        <f aca="false">IF($C106="","",IF(Dashboard!$C$4="Gemiddeld per maand",$F106,IF(OR($D106="Per maand",$D106="Per week",$D106=""),$F106,IF($D106="Per jaar",IF(1=$W106,$C106,0),IF($D106="Per half jaar",IF(MOD(1-$W106,6)=0,$C106,0),IF($D106="Per kwartaal",IF(MOD(1-$W106,3)=0,$C106,0),$F106))))))</f>
        <v/>
      </c>
      <c r="L106" s="107" t="str">
        <f aca="false">IF($C106="","",IF(Dashboard!$C$4="Gemiddeld per maand",$F106,IF(OR($D106="Per maand",$D106="Per week",$D106=""),$F106,IF($D106="Per jaar",IF(2=$W106,$C106,0),IF($D106="Per half jaar",IF(MOD(2-$W106,6)=0,$C106,0),IF($D106="Per kwartaal",IF(MOD(2-$W106,3)=0,$C106,0),$F106))))))</f>
        <v/>
      </c>
      <c r="M106" s="107" t="str">
        <f aca="false">IF($C106="","",IF(Dashboard!$C$4="Gemiddeld per maand",$F106,IF(OR($D106="Per maand",$D106="Per week",$D106=""),$F106,IF($D106="Per jaar",IF(3=$W106,$C106,0),IF($D106="Per half jaar",IF(MOD(3-$W106,6)=0,$C106,0),IF($D106="Per kwartaal",IF(MOD(3-$W106,3)=0,$C106,0),$F106))))))</f>
        <v/>
      </c>
      <c r="N106" s="107" t="str">
        <f aca="false">IF($C106="","",IF(Dashboard!$C$4="Gemiddeld per maand",$F106,IF(OR($D106="Per maand",$D106="Per week",$D106=""),$F106,IF($D106="Per jaar",IF(4=$W106,$C106,0),IF($D106="Per half jaar",IF(MOD(4-$W106,6)=0,$C106,0),IF($D106="Per kwartaal",IF(MOD(4-$W106,3)=0,$C106,0),$F106))))))</f>
        <v/>
      </c>
      <c r="O106" s="107" t="str">
        <f aca="false">IF($C106="","",IF(Dashboard!$C$4="Gemiddeld per maand",$F106,IF(OR($D106="Per maand",$D106="Per week",$D106=""),$F106,IF($D106="Per jaar",IF(5=$W106,$C106,0),IF($D106="Per half jaar",IF(MOD(5-$W106,6)=0,$C106,0),IF($D106="Per kwartaal",IF(MOD(5-$W106,3)=0,$C106,0),$F106))))))</f>
        <v/>
      </c>
      <c r="P106" s="107" t="str">
        <f aca="false">IF($C106="","",IF(Dashboard!$C$4="Gemiddeld per maand",$F106,IF(OR($D106="Per maand",$D106="Per week",$D106=""),$F106,IF($D106="Per jaar",IF(6=$W106,$C106,0),IF($D106="Per half jaar",IF(MOD(6-$W106,6)=0,$C106,0),IF($D106="Per kwartaal",IF(MOD(6-$W106,3)=0,$C106,0),$F106))))))</f>
        <v/>
      </c>
      <c r="Q106" s="107" t="str">
        <f aca="false">IF($C106="","",IF(Dashboard!$C$4="Gemiddeld per maand",$F106,IF(OR($D106="Per maand",$D106="Per week",$D106=""),$F106,IF($D106="Per jaar",IF(7=$W106,$C106,0),IF($D106="Per half jaar",IF(MOD(7-$W106,6)=0,$C106,0),IF($D106="Per kwartaal",IF(MOD(7-$W106,3)=0,$C106,0),$F106))))))</f>
        <v/>
      </c>
      <c r="R106" s="107" t="str">
        <f aca="false">IF($C106="","",IF(Dashboard!$C$4="Gemiddeld per maand",$F106,IF(OR($D106="Per maand",$D106="Per week",$D106=""),$F106,IF($D106="Per jaar",IF(8=$W106,$C106,0),IF($D106="Per half jaar",IF(MOD(8-$W106,6)=0,$C106,0),IF($D106="Per kwartaal",IF(MOD(8-$W106,3)=0,$C106,0),$F106))))))</f>
        <v/>
      </c>
      <c r="S106" s="107" t="str">
        <f aca="false">IF($C106="","",IF(Dashboard!$C$4="Gemiddeld per maand",$F106,IF(OR($D106="Per maand",$D106="Per week",$D106=""),$F106,IF($D106="Per jaar",IF(9=$W106,$C106,0),IF($D106="Per half jaar",IF(MOD(9-$W106,6)=0,$C106,0),IF($D106="Per kwartaal",IF(MOD(9-$W106,3)=0,$C106,0),$F106))))))</f>
        <v/>
      </c>
      <c r="T106" s="107" t="str">
        <f aca="false">IF($C106="","",IF(Dashboard!$C$4="Gemiddeld per maand",$F106,IF(OR($D106="Per maand",$D106="Per week",$D106=""),$F106,IF($D106="Per jaar",IF(10=$W106,$C106,0),IF($D106="Per half jaar",IF(MOD(10-$W106,6)=0,$C106,0),IF($D106="Per kwartaal",IF(MOD(10-$W106,3)=0,$C106,0),$F106))))))</f>
        <v/>
      </c>
      <c r="U106" s="107" t="str">
        <f aca="false">IF($C106="","",IF(Dashboard!$C$4="Gemiddeld per maand",$F106,IF(OR($D106="Per maand",$D106="Per week",$D106=""),$F106,IF($D106="Per jaar",IF(11=$W106,$C106,0),IF($D106="Per half jaar",IF(MOD(11-$W106,6)=0,$C106,0),IF($D106="Per kwartaal",IF(MOD(11-$W106,3)=0,$C106,0),$F106))))))</f>
        <v/>
      </c>
      <c r="V106" s="107" t="str">
        <f aca="false">IF($C106="","",IF(Dashboard!$C$4="Gemiddeld per maand",$F106,IF(OR($D106="Per maand",$D106="Per week",$D106=""),$F106,IF($D106="Per jaar",IF(12=$W106,$C106,0),IF($D106="Per half jaar",IF(MOD(12-$W106,6)=0,$C106,0),IF($D106="Per kwartaal",IF(MOD(12-$W106,3)=0,$C106,0),$F106))))))</f>
        <v/>
      </c>
      <c r="W106" s="15" t="n">
        <f aca="false">IF($E106="",1,IFERROR(MATCH($E106,Lijsten!$K$6:$K$17,0),1))</f>
        <v>1</v>
      </c>
    </row>
    <row r="107" customFormat="false" ht="15" hidden="false" customHeight="false" outlineLevel="0" collapsed="false">
      <c r="A107" s="102"/>
      <c r="B107" s="102"/>
      <c r="C107" s="92"/>
      <c r="D107" s="102"/>
      <c r="E107" s="103"/>
      <c r="F107" s="104" t="str">
        <f aca="false">IF($C107="","",IF($D107="Per jaar",$C107/12,IF($D107="Per kwartaal",$C107/3,IF($D107="Per half jaar",$C107/6,IF($D107="Per week",$C107*52/12,$C107)))))</f>
        <v/>
      </c>
      <c r="G107" s="102"/>
      <c r="H107" s="103"/>
      <c r="I107" s="105"/>
      <c r="J107" s="106" t="str">
        <f aca="false">IF($C107="","",IF(Dashboard!$C$4="Gemiddeld per maand",$F107,IF(OR($D107="Per maand",$D107="Per week",$D107=""),$F107,IF($D107="Per jaar",IF(Dashboard!$N$2=$W107,$C107,0),IF($D107="Per half jaar",IF(MOD(Dashboard!$N$2-$W107,6)=0,$C107,0),IF($D107="Per kwartaal",IF(MOD(Dashboard!$N$2-$W107,3)=0,$C107,0),$F107))))))</f>
        <v/>
      </c>
      <c r="K107" s="107" t="str">
        <f aca="false">IF($C107="","",IF(Dashboard!$C$4="Gemiddeld per maand",$F107,IF(OR($D107="Per maand",$D107="Per week",$D107=""),$F107,IF($D107="Per jaar",IF(1=$W107,$C107,0),IF($D107="Per half jaar",IF(MOD(1-$W107,6)=0,$C107,0),IF($D107="Per kwartaal",IF(MOD(1-$W107,3)=0,$C107,0),$F107))))))</f>
        <v/>
      </c>
      <c r="L107" s="107" t="str">
        <f aca="false">IF($C107="","",IF(Dashboard!$C$4="Gemiddeld per maand",$F107,IF(OR($D107="Per maand",$D107="Per week",$D107=""),$F107,IF($D107="Per jaar",IF(2=$W107,$C107,0),IF($D107="Per half jaar",IF(MOD(2-$W107,6)=0,$C107,0),IF($D107="Per kwartaal",IF(MOD(2-$W107,3)=0,$C107,0),$F107))))))</f>
        <v/>
      </c>
      <c r="M107" s="107" t="str">
        <f aca="false">IF($C107="","",IF(Dashboard!$C$4="Gemiddeld per maand",$F107,IF(OR($D107="Per maand",$D107="Per week",$D107=""),$F107,IF($D107="Per jaar",IF(3=$W107,$C107,0),IF($D107="Per half jaar",IF(MOD(3-$W107,6)=0,$C107,0),IF($D107="Per kwartaal",IF(MOD(3-$W107,3)=0,$C107,0),$F107))))))</f>
        <v/>
      </c>
      <c r="N107" s="107" t="str">
        <f aca="false">IF($C107="","",IF(Dashboard!$C$4="Gemiddeld per maand",$F107,IF(OR($D107="Per maand",$D107="Per week",$D107=""),$F107,IF($D107="Per jaar",IF(4=$W107,$C107,0),IF($D107="Per half jaar",IF(MOD(4-$W107,6)=0,$C107,0),IF($D107="Per kwartaal",IF(MOD(4-$W107,3)=0,$C107,0),$F107))))))</f>
        <v/>
      </c>
      <c r="O107" s="107" t="str">
        <f aca="false">IF($C107="","",IF(Dashboard!$C$4="Gemiddeld per maand",$F107,IF(OR($D107="Per maand",$D107="Per week",$D107=""),$F107,IF($D107="Per jaar",IF(5=$W107,$C107,0),IF($D107="Per half jaar",IF(MOD(5-$W107,6)=0,$C107,0),IF($D107="Per kwartaal",IF(MOD(5-$W107,3)=0,$C107,0),$F107))))))</f>
        <v/>
      </c>
      <c r="P107" s="107" t="str">
        <f aca="false">IF($C107="","",IF(Dashboard!$C$4="Gemiddeld per maand",$F107,IF(OR($D107="Per maand",$D107="Per week",$D107=""),$F107,IF($D107="Per jaar",IF(6=$W107,$C107,0),IF($D107="Per half jaar",IF(MOD(6-$W107,6)=0,$C107,0),IF($D107="Per kwartaal",IF(MOD(6-$W107,3)=0,$C107,0),$F107))))))</f>
        <v/>
      </c>
      <c r="Q107" s="107" t="str">
        <f aca="false">IF($C107="","",IF(Dashboard!$C$4="Gemiddeld per maand",$F107,IF(OR($D107="Per maand",$D107="Per week",$D107=""),$F107,IF($D107="Per jaar",IF(7=$W107,$C107,0),IF($D107="Per half jaar",IF(MOD(7-$W107,6)=0,$C107,0),IF($D107="Per kwartaal",IF(MOD(7-$W107,3)=0,$C107,0),$F107))))))</f>
        <v/>
      </c>
      <c r="R107" s="107" t="str">
        <f aca="false">IF($C107="","",IF(Dashboard!$C$4="Gemiddeld per maand",$F107,IF(OR($D107="Per maand",$D107="Per week",$D107=""),$F107,IF($D107="Per jaar",IF(8=$W107,$C107,0),IF($D107="Per half jaar",IF(MOD(8-$W107,6)=0,$C107,0),IF($D107="Per kwartaal",IF(MOD(8-$W107,3)=0,$C107,0),$F107))))))</f>
        <v/>
      </c>
      <c r="S107" s="107" t="str">
        <f aca="false">IF($C107="","",IF(Dashboard!$C$4="Gemiddeld per maand",$F107,IF(OR($D107="Per maand",$D107="Per week",$D107=""),$F107,IF($D107="Per jaar",IF(9=$W107,$C107,0),IF($D107="Per half jaar",IF(MOD(9-$W107,6)=0,$C107,0),IF($D107="Per kwartaal",IF(MOD(9-$W107,3)=0,$C107,0),$F107))))))</f>
        <v/>
      </c>
      <c r="T107" s="107" t="str">
        <f aca="false">IF($C107="","",IF(Dashboard!$C$4="Gemiddeld per maand",$F107,IF(OR($D107="Per maand",$D107="Per week",$D107=""),$F107,IF($D107="Per jaar",IF(10=$W107,$C107,0),IF($D107="Per half jaar",IF(MOD(10-$W107,6)=0,$C107,0),IF($D107="Per kwartaal",IF(MOD(10-$W107,3)=0,$C107,0),$F107))))))</f>
        <v/>
      </c>
      <c r="U107" s="107" t="str">
        <f aca="false">IF($C107="","",IF(Dashboard!$C$4="Gemiddeld per maand",$F107,IF(OR($D107="Per maand",$D107="Per week",$D107=""),$F107,IF($D107="Per jaar",IF(11=$W107,$C107,0),IF($D107="Per half jaar",IF(MOD(11-$W107,6)=0,$C107,0),IF($D107="Per kwartaal",IF(MOD(11-$W107,3)=0,$C107,0),$F107))))))</f>
        <v/>
      </c>
      <c r="V107" s="107" t="str">
        <f aca="false">IF($C107="","",IF(Dashboard!$C$4="Gemiddeld per maand",$F107,IF(OR($D107="Per maand",$D107="Per week",$D107=""),$F107,IF($D107="Per jaar",IF(12=$W107,$C107,0),IF($D107="Per half jaar",IF(MOD(12-$W107,6)=0,$C107,0),IF($D107="Per kwartaal",IF(MOD(12-$W107,3)=0,$C107,0),$F107))))))</f>
        <v/>
      </c>
      <c r="W107" s="15" t="n">
        <f aca="false">IF($E107="",1,IFERROR(MATCH($E107,Lijsten!$K$6:$K$17,0),1))</f>
        <v>1</v>
      </c>
    </row>
    <row r="108" customFormat="false" ht="15" hidden="false" customHeight="false" outlineLevel="0" collapsed="false">
      <c r="A108" s="102"/>
      <c r="B108" s="102"/>
      <c r="C108" s="92"/>
      <c r="D108" s="102"/>
      <c r="E108" s="103"/>
      <c r="F108" s="104" t="str">
        <f aca="false">IF($C108="","",IF($D108="Per jaar",$C108/12,IF($D108="Per kwartaal",$C108/3,IF($D108="Per half jaar",$C108/6,IF($D108="Per week",$C108*52/12,$C108)))))</f>
        <v/>
      </c>
      <c r="G108" s="102"/>
      <c r="H108" s="103"/>
      <c r="I108" s="105"/>
      <c r="J108" s="106" t="str">
        <f aca="false">IF($C108="","",IF(Dashboard!$C$4="Gemiddeld per maand",$F108,IF(OR($D108="Per maand",$D108="Per week",$D108=""),$F108,IF($D108="Per jaar",IF(Dashboard!$N$2=$W108,$C108,0),IF($D108="Per half jaar",IF(MOD(Dashboard!$N$2-$W108,6)=0,$C108,0),IF($D108="Per kwartaal",IF(MOD(Dashboard!$N$2-$W108,3)=0,$C108,0),$F108))))))</f>
        <v/>
      </c>
      <c r="K108" s="107" t="str">
        <f aca="false">IF($C108="","",IF(Dashboard!$C$4="Gemiddeld per maand",$F108,IF(OR($D108="Per maand",$D108="Per week",$D108=""),$F108,IF($D108="Per jaar",IF(1=$W108,$C108,0),IF($D108="Per half jaar",IF(MOD(1-$W108,6)=0,$C108,0),IF($D108="Per kwartaal",IF(MOD(1-$W108,3)=0,$C108,0),$F108))))))</f>
        <v/>
      </c>
      <c r="L108" s="107" t="str">
        <f aca="false">IF($C108="","",IF(Dashboard!$C$4="Gemiddeld per maand",$F108,IF(OR($D108="Per maand",$D108="Per week",$D108=""),$F108,IF($D108="Per jaar",IF(2=$W108,$C108,0),IF($D108="Per half jaar",IF(MOD(2-$W108,6)=0,$C108,0),IF($D108="Per kwartaal",IF(MOD(2-$W108,3)=0,$C108,0),$F108))))))</f>
        <v/>
      </c>
      <c r="M108" s="107" t="str">
        <f aca="false">IF($C108="","",IF(Dashboard!$C$4="Gemiddeld per maand",$F108,IF(OR($D108="Per maand",$D108="Per week",$D108=""),$F108,IF($D108="Per jaar",IF(3=$W108,$C108,0),IF($D108="Per half jaar",IF(MOD(3-$W108,6)=0,$C108,0),IF($D108="Per kwartaal",IF(MOD(3-$W108,3)=0,$C108,0),$F108))))))</f>
        <v/>
      </c>
      <c r="N108" s="107" t="str">
        <f aca="false">IF($C108="","",IF(Dashboard!$C$4="Gemiddeld per maand",$F108,IF(OR($D108="Per maand",$D108="Per week",$D108=""),$F108,IF($D108="Per jaar",IF(4=$W108,$C108,0),IF($D108="Per half jaar",IF(MOD(4-$W108,6)=0,$C108,0),IF($D108="Per kwartaal",IF(MOD(4-$W108,3)=0,$C108,0),$F108))))))</f>
        <v/>
      </c>
      <c r="O108" s="107" t="str">
        <f aca="false">IF($C108="","",IF(Dashboard!$C$4="Gemiddeld per maand",$F108,IF(OR($D108="Per maand",$D108="Per week",$D108=""),$F108,IF($D108="Per jaar",IF(5=$W108,$C108,0),IF($D108="Per half jaar",IF(MOD(5-$W108,6)=0,$C108,0),IF($D108="Per kwartaal",IF(MOD(5-$W108,3)=0,$C108,0),$F108))))))</f>
        <v/>
      </c>
      <c r="P108" s="107" t="str">
        <f aca="false">IF($C108="","",IF(Dashboard!$C$4="Gemiddeld per maand",$F108,IF(OR($D108="Per maand",$D108="Per week",$D108=""),$F108,IF($D108="Per jaar",IF(6=$W108,$C108,0),IF($D108="Per half jaar",IF(MOD(6-$W108,6)=0,$C108,0),IF($D108="Per kwartaal",IF(MOD(6-$W108,3)=0,$C108,0),$F108))))))</f>
        <v/>
      </c>
      <c r="Q108" s="107" t="str">
        <f aca="false">IF($C108="","",IF(Dashboard!$C$4="Gemiddeld per maand",$F108,IF(OR($D108="Per maand",$D108="Per week",$D108=""),$F108,IF($D108="Per jaar",IF(7=$W108,$C108,0),IF($D108="Per half jaar",IF(MOD(7-$W108,6)=0,$C108,0),IF($D108="Per kwartaal",IF(MOD(7-$W108,3)=0,$C108,0),$F108))))))</f>
        <v/>
      </c>
      <c r="R108" s="107" t="str">
        <f aca="false">IF($C108="","",IF(Dashboard!$C$4="Gemiddeld per maand",$F108,IF(OR($D108="Per maand",$D108="Per week",$D108=""),$F108,IF($D108="Per jaar",IF(8=$W108,$C108,0),IF($D108="Per half jaar",IF(MOD(8-$W108,6)=0,$C108,0),IF($D108="Per kwartaal",IF(MOD(8-$W108,3)=0,$C108,0),$F108))))))</f>
        <v/>
      </c>
      <c r="S108" s="107" t="str">
        <f aca="false">IF($C108="","",IF(Dashboard!$C$4="Gemiddeld per maand",$F108,IF(OR($D108="Per maand",$D108="Per week",$D108=""),$F108,IF($D108="Per jaar",IF(9=$W108,$C108,0),IF($D108="Per half jaar",IF(MOD(9-$W108,6)=0,$C108,0),IF($D108="Per kwartaal",IF(MOD(9-$W108,3)=0,$C108,0),$F108))))))</f>
        <v/>
      </c>
      <c r="T108" s="107" t="str">
        <f aca="false">IF($C108="","",IF(Dashboard!$C$4="Gemiddeld per maand",$F108,IF(OR($D108="Per maand",$D108="Per week",$D108=""),$F108,IF($D108="Per jaar",IF(10=$W108,$C108,0),IF($D108="Per half jaar",IF(MOD(10-$W108,6)=0,$C108,0),IF($D108="Per kwartaal",IF(MOD(10-$W108,3)=0,$C108,0),$F108))))))</f>
        <v/>
      </c>
      <c r="U108" s="107" t="str">
        <f aca="false">IF($C108="","",IF(Dashboard!$C$4="Gemiddeld per maand",$F108,IF(OR($D108="Per maand",$D108="Per week",$D108=""),$F108,IF($D108="Per jaar",IF(11=$W108,$C108,0),IF($D108="Per half jaar",IF(MOD(11-$W108,6)=0,$C108,0),IF($D108="Per kwartaal",IF(MOD(11-$W108,3)=0,$C108,0),$F108))))))</f>
        <v/>
      </c>
      <c r="V108" s="107" t="str">
        <f aca="false">IF($C108="","",IF(Dashboard!$C$4="Gemiddeld per maand",$F108,IF(OR($D108="Per maand",$D108="Per week",$D108=""),$F108,IF($D108="Per jaar",IF(12=$W108,$C108,0),IF($D108="Per half jaar",IF(MOD(12-$W108,6)=0,$C108,0),IF($D108="Per kwartaal",IF(MOD(12-$W108,3)=0,$C108,0),$F108))))))</f>
        <v/>
      </c>
      <c r="W108" s="15" t="n">
        <f aca="false">IF($E108="",1,IFERROR(MATCH($E108,Lijsten!$K$6:$K$17,0),1))</f>
        <v>1</v>
      </c>
    </row>
    <row r="109" customFormat="false" ht="15" hidden="false" customHeight="false" outlineLevel="0" collapsed="false">
      <c r="A109" s="102"/>
      <c r="B109" s="102"/>
      <c r="C109" s="92"/>
      <c r="D109" s="102"/>
      <c r="E109" s="103"/>
      <c r="F109" s="104" t="str">
        <f aca="false">IF($C109="","",IF($D109="Per jaar",$C109/12,IF($D109="Per kwartaal",$C109/3,IF($D109="Per half jaar",$C109/6,IF($D109="Per week",$C109*52/12,$C109)))))</f>
        <v/>
      </c>
      <c r="G109" s="102"/>
      <c r="H109" s="103"/>
      <c r="I109" s="105"/>
      <c r="J109" s="106" t="str">
        <f aca="false">IF($C109="","",IF(Dashboard!$C$4="Gemiddeld per maand",$F109,IF(OR($D109="Per maand",$D109="Per week",$D109=""),$F109,IF($D109="Per jaar",IF(Dashboard!$N$2=$W109,$C109,0),IF($D109="Per half jaar",IF(MOD(Dashboard!$N$2-$W109,6)=0,$C109,0),IF($D109="Per kwartaal",IF(MOD(Dashboard!$N$2-$W109,3)=0,$C109,0),$F109))))))</f>
        <v/>
      </c>
      <c r="K109" s="107" t="str">
        <f aca="false">IF($C109="","",IF(Dashboard!$C$4="Gemiddeld per maand",$F109,IF(OR($D109="Per maand",$D109="Per week",$D109=""),$F109,IF($D109="Per jaar",IF(1=$W109,$C109,0),IF($D109="Per half jaar",IF(MOD(1-$W109,6)=0,$C109,0),IF($D109="Per kwartaal",IF(MOD(1-$W109,3)=0,$C109,0),$F109))))))</f>
        <v/>
      </c>
      <c r="L109" s="107" t="str">
        <f aca="false">IF($C109="","",IF(Dashboard!$C$4="Gemiddeld per maand",$F109,IF(OR($D109="Per maand",$D109="Per week",$D109=""),$F109,IF($D109="Per jaar",IF(2=$W109,$C109,0),IF($D109="Per half jaar",IF(MOD(2-$W109,6)=0,$C109,0),IF($D109="Per kwartaal",IF(MOD(2-$W109,3)=0,$C109,0),$F109))))))</f>
        <v/>
      </c>
      <c r="M109" s="107" t="str">
        <f aca="false">IF($C109="","",IF(Dashboard!$C$4="Gemiddeld per maand",$F109,IF(OR($D109="Per maand",$D109="Per week",$D109=""),$F109,IF($D109="Per jaar",IF(3=$W109,$C109,0),IF($D109="Per half jaar",IF(MOD(3-$W109,6)=0,$C109,0),IF($D109="Per kwartaal",IF(MOD(3-$W109,3)=0,$C109,0),$F109))))))</f>
        <v/>
      </c>
      <c r="N109" s="107" t="str">
        <f aca="false">IF($C109="","",IF(Dashboard!$C$4="Gemiddeld per maand",$F109,IF(OR($D109="Per maand",$D109="Per week",$D109=""),$F109,IF($D109="Per jaar",IF(4=$W109,$C109,0),IF($D109="Per half jaar",IF(MOD(4-$W109,6)=0,$C109,0),IF($D109="Per kwartaal",IF(MOD(4-$W109,3)=0,$C109,0),$F109))))))</f>
        <v/>
      </c>
      <c r="O109" s="107" t="str">
        <f aca="false">IF($C109="","",IF(Dashboard!$C$4="Gemiddeld per maand",$F109,IF(OR($D109="Per maand",$D109="Per week",$D109=""),$F109,IF($D109="Per jaar",IF(5=$W109,$C109,0),IF($D109="Per half jaar",IF(MOD(5-$W109,6)=0,$C109,0),IF($D109="Per kwartaal",IF(MOD(5-$W109,3)=0,$C109,0),$F109))))))</f>
        <v/>
      </c>
      <c r="P109" s="107" t="str">
        <f aca="false">IF($C109="","",IF(Dashboard!$C$4="Gemiddeld per maand",$F109,IF(OR($D109="Per maand",$D109="Per week",$D109=""),$F109,IF($D109="Per jaar",IF(6=$W109,$C109,0),IF($D109="Per half jaar",IF(MOD(6-$W109,6)=0,$C109,0),IF($D109="Per kwartaal",IF(MOD(6-$W109,3)=0,$C109,0),$F109))))))</f>
        <v/>
      </c>
      <c r="Q109" s="107" t="str">
        <f aca="false">IF($C109="","",IF(Dashboard!$C$4="Gemiddeld per maand",$F109,IF(OR($D109="Per maand",$D109="Per week",$D109=""),$F109,IF($D109="Per jaar",IF(7=$W109,$C109,0),IF($D109="Per half jaar",IF(MOD(7-$W109,6)=0,$C109,0),IF($D109="Per kwartaal",IF(MOD(7-$W109,3)=0,$C109,0),$F109))))))</f>
        <v/>
      </c>
      <c r="R109" s="107" t="str">
        <f aca="false">IF($C109="","",IF(Dashboard!$C$4="Gemiddeld per maand",$F109,IF(OR($D109="Per maand",$D109="Per week",$D109=""),$F109,IF($D109="Per jaar",IF(8=$W109,$C109,0),IF($D109="Per half jaar",IF(MOD(8-$W109,6)=0,$C109,0),IF($D109="Per kwartaal",IF(MOD(8-$W109,3)=0,$C109,0),$F109))))))</f>
        <v/>
      </c>
      <c r="S109" s="107" t="str">
        <f aca="false">IF($C109="","",IF(Dashboard!$C$4="Gemiddeld per maand",$F109,IF(OR($D109="Per maand",$D109="Per week",$D109=""),$F109,IF($D109="Per jaar",IF(9=$W109,$C109,0),IF($D109="Per half jaar",IF(MOD(9-$W109,6)=0,$C109,0),IF($D109="Per kwartaal",IF(MOD(9-$W109,3)=0,$C109,0),$F109))))))</f>
        <v/>
      </c>
      <c r="T109" s="107" t="str">
        <f aca="false">IF($C109="","",IF(Dashboard!$C$4="Gemiddeld per maand",$F109,IF(OR($D109="Per maand",$D109="Per week",$D109=""),$F109,IF($D109="Per jaar",IF(10=$W109,$C109,0),IF($D109="Per half jaar",IF(MOD(10-$W109,6)=0,$C109,0),IF($D109="Per kwartaal",IF(MOD(10-$W109,3)=0,$C109,0),$F109))))))</f>
        <v/>
      </c>
      <c r="U109" s="107" t="str">
        <f aca="false">IF($C109="","",IF(Dashboard!$C$4="Gemiddeld per maand",$F109,IF(OR($D109="Per maand",$D109="Per week",$D109=""),$F109,IF($D109="Per jaar",IF(11=$W109,$C109,0),IF($D109="Per half jaar",IF(MOD(11-$W109,6)=0,$C109,0),IF($D109="Per kwartaal",IF(MOD(11-$W109,3)=0,$C109,0),$F109))))))</f>
        <v/>
      </c>
      <c r="V109" s="107" t="str">
        <f aca="false">IF($C109="","",IF(Dashboard!$C$4="Gemiddeld per maand",$F109,IF(OR($D109="Per maand",$D109="Per week",$D109=""),$F109,IF($D109="Per jaar",IF(12=$W109,$C109,0),IF($D109="Per half jaar",IF(MOD(12-$W109,6)=0,$C109,0),IF($D109="Per kwartaal",IF(MOD(12-$W109,3)=0,$C109,0),$F109))))))</f>
        <v/>
      </c>
      <c r="W109" s="15" t="n">
        <f aca="false">IF($E109="",1,IFERROR(MATCH($E109,Lijsten!$K$6:$K$17,0),1))</f>
        <v>1</v>
      </c>
    </row>
    <row r="110" customFormat="false" ht="15" hidden="false" customHeight="false" outlineLevel="0" collapsed="false">
      <c r="A110" s="102"/>
      <c r="B110" s="102"/>
      <c r="C110" s="92"/>
      <c r="D110" s="102"/>
      <c r="E110" s="103"/>
      <c r="F110" s="104" t="str">
        <f aca="false">IF($C110="","",IF($D110="Per jaar",$C110/12,IF($D110="Per kwartaal",$C110/3,IF($D110="Per half jaar",$C110/6,IF($D110="Per week",$C110*52/12,$C110)))))</f>
        <v/>
      </c>
      <c r="G110" s="102"/>
      <c r="H110" s="103"/>
      <c r="I110" s="105"/>
      <c r="J110" s="106" t="str">
        <f aca="false">IF($C110="","",IF(Dashboard!$C$4="Gemiddeld per maand",$F110,IF(OR($D110="Per maand",$D110="Per week",$D110=""),$F110,IF($D110="Per jaar",IF(Dashboard!$N$2=$W110,$C110,0),IF($D110="Per half jaar",IF(MOD(Dashboard!$N$2-$W110,6)=0,$C110,0),IF($D110="Per kwartaal",IF(MOD(Dashboard!$N$2-$W110,3)=0,$C110,0),$F110))))))</f>
        <v/>
      </c>
      <c r="K110" s="107" t="str">
        <f aca="false">IF($C110="","",IF(Dashboard!$C$4="Gemiddeld per maand",$F110,IF(OR($D110="Per maand",$D110="Per week",$D110=""),$F110,IF($D110="Per jaar",IF(1=$W110,$C110,0),IF($D110="Per half jaar",IF(MOD(1-$W110,6)=0,$C110,0),IF($D110="Per kwartaal",IF(MOD(1-$W110,3)=0,$C110,0),$F110))))))</f>
        <v/>
      </c>
      <c r="L110" s="107" t="str">
        <f aca="false">IF($C110="","",IF(Dashboard!$C$4="Gemiddeld per maand",$F110,IF(OR($D110="Per maand",$D110="Per week",$D110=""),$F110,IF($D110="Per jaar",IF(2=$W110,$C110,0),IF($D110="Per half jaar",IF(MOD(2-$W110,6)=0,$C110,0),IF($D110="Per kwartaal",IF(MOD(2-$W110,3)=0,$C110,0),$F110))))))</f>
        <v/>
      </c>
      <c r="M110" s="107" t="str">
        <f aca="false">IF($C110="","",IF(Dashboard!$C$4="Gemiddeld per maand",$F110,IF(OR($D110="Per maand",$D110="Per week",$D110=""),$F110,IF($D110="Per jaar",IF(3=$W110,$C110,0),IF($D110="Per half jaar",IF(MOD(3-$W110,6)=0,$C110,0),IF($D110="Per kwartaal",IF(MOD(3-$W110,3)=0,$C110,0),$F110))))))</f>
        <v/>
      </c>
      <c r="N110" s="107" t="str">
        <f aca="false">IF($C110="","",IF(Dashboard!$C$4="Gemiddeld per maand",$F110,IF(OR($D110="Per maand",$D110="Per week",$D110=""),$F110,IF($D110="Per jaar",IF(4=$W110,$C110,0),IF($D110="Per half jaar",IF(MOD(4-$W110,6)=0,$C110,0),IF($D110="Per kwartaal",IF(MOD(4-$W110,3)=0,$C110,0),$F110))))))</f>
        <v/>
      </c>
      <c r="O110" s="107" t="str">
        <f aca="false">IF($C110="","",IF(Dashboard!$C$4="Gemiddeld per maand",$F110,IF(OR($D110="Per maand",$D110="Per week",$D110=""),$F110,IF($D110="Per jaar",IF(5=$W110,$C110,0),IF($D110="Per half jaar",IF(MOD(5-$W110,6)=0,$C110,0),IF($D110="Per kwartaal",IF(MOD(5-$W110,3)=0,$C110,0),$F110))))))</f>
        <v/>
      </c>
      <c r="P110" s="107" t="str">
        <f aca="false">IF($C110="","",IF(Dashboard!$C$4="Gemiddeld per maand",$F110,IF(OR($D110="Per maand",$D110="Per week",$D110=""),$F110,IF($D110="Per jaar",IF(6=$W110,$C110,0),IF($D110="Per half jaar",IF(MOD(6-$W110,6)=0,$C110,0),IF($D110="Per kwartaal",IF(MOD(6-$W110,3)=0,$C110,0),$F110))))))</f>
        <v/>
      </c>
      <c r="Q110" s="107" t="str">
        <f aca="false">IF($C110="","",IF(Dashboard!$C$4="Gemiddeld per maand",$F110,IF(OR($D110="Per maand",$D110="Per week",$D110=""),$F110,IF($D110="Per jaar",IF(7=$W110,$C110,0),IF($D110="Per half jaar",IF(MOD(7-$W110,6)=0,$C110,0),IF($D110="Per kwartaal",IF(MOD(7-$W110,3)=0,$C110,0),$F110))))))</f>
        <v/>
      </c>
      <c r="R110" s="107" t="str">
        <f aca="false">IF($C110="","",IF(Dashboard!$C$4="Gemiddeld per maand",$F110,IF(OR($D110="Per maand",$D110="Per week",$D110=""),$F110,IF($D110="Per jaar",IF(8=$W110,$C110,0),IF($D110="Per half jaar",IF(MOD(8-$W110,6)=0,$C110,0),IF($D110="Per kwartaal",IF(MOD(8-$W110,3)=0,$C110,0),$F110))))))</f>
        <v/>
      </c>
      <c r="S110" s="107" t="str">
        <f aca="false">IF($C110="","",IF(Dashboard!$C$4="Gemiddeld per maand",$F110,IF(OR($D110="Per maand",$D110="Per week",$D110=""),$F110,IF($D110="Per jaar",IF(9=$W110,$C110,0),IF($D110="Per half jaar",IF(MOD(9-$W110,6)=0,$C110,0),IF($D110="Per kwartaal",IF(MOD(9-$W110,3)=0,$C110,0),$F110))))))</f>
        <v/>
      </c>
      <c r="T110" s="107" t="str">
        <f aca="false">IF($C110="","",IF(Dashboard!$C$4="Gemiddeld per maand",$F110,IF(OR($D110="Per maand",$D110="Per week",$D110=""),$F110,IF($D110="Per jaar",IF(10=$W110,$C110,0),IF($D110="Per half jaar",IF(MOD(10-$W110,6)=0,$C110,0),IF($D110="Per kwartaal",IF(MOD(10-$W110,3)=0,$C110,0),$F110))))))</f>
        <v/>
      </c>
      <c r="U110" s="107" t="str">
        <f aca="false">IF($C110="","",IF(Dashboard!$C$4="Gemiddeld per maand",$F110,IF(OR($D110="Per maand",$D110="Per week",$D110=""),$F110,IF($D110="Per jaar",IF(11=$W110,$C110,0),IF($D110="Per half jaar",IF(MOD(11-$W110,6)=0,$C110,0),IF($D110="Per kwartaal",IF(MOD(11-$W110,3)=0,$C110,0),$F110))))))</f>
        <v/>
      </c>
      <c r="V110" s="107" t="str">
        <f aca="false">IF($C110="","",IF(Dashboard!$C$4="Gemiddeld per maand",$F110,IF(OR($D110="Per maand",$D110="Per week",$D110=""),$F110,IF($D110="Per jaar",IF(12=$W110,$C110,0),IF($D110="Per half jaar",IF(MOD(12-$W110,6)=0,$C110,0),IF($D110="Per kwartaal",IF(MOD(12-$W110,3)=0,$C110,0),$F110))))))</f>
        <v/>
      </c>
      <c r="W110" s="15" t="n">
        <f aca="false">IF($E110="",1,IFERROR(MATCH($E110,Lijsten!$K$6:$K$17,0),1))</f>
        <v>1</v>
      </c>
    </row>
    <row r="111" customFormat="false" ht="15" hidden="false" customHeight="false" outlineLevel="0" collapsed="false">
      <c r="A111" s="102"/>
      <c r="B111" s="102"/>
      <c r="C111" s="92"/>
      <c r="D111" s="102"/>
      <c r="E111" s="103"/>
      <c r="F111" s="104" t="str">
        <f aca="false">IF($C111="","",IF($D111="Per jaar",$C111/12,IF($D111="Per kwartaal",$C111/3,IF($D111="Per half jaar",$C111/6,IF($D111="Per week",$C111*52/12,$C111)))))</f>
        <v/>
      </c>
      <c r="G111" s="102"/>
      <c r="H111" s="103"/>
      <c r="I111" s="105"/>
      <c r="J111" s="106" t="str">
        <f aca="false">IF($C111="","",IF(Dashboard!$C$4="Gemiddeld per maand",$F111,IF(OR($D111="Per maand",$D111="Per week",$D111=""),$F111,IF($D111="Per jaar",IF(Dashboard!$N$2=$W111,$C111,0),IF($D111="Per half jaar",IF(MOD(Dashboard!$N$2-$W111,6)=0,$C111,0),IF($D111="Per kwartaal",IF(MOD(Dashboard!$N$2-$W111,3)=0,$C111,0),$F111))))))</f>
        <v/>
      </c>
      <c r="K111" s="107" t="str">
        <f aca="false">IF($C111="","",IF(Dashboard!$C$4="Gemiddeld per maand",$F111,IF(OR($D111="Per maand",$D111="Per week",$D111=""),$F111,IF($D111="Per jaar",IF(1=$W111,$C111,0),IF($D111="Per half jaar",IF(MOD(1-$W111,6)=0,$C111,0),IF($D111="Per kwartaal",IF(MOD(1-$W111,3)=0,$C111,0),$F111))))))</f>
        <v/>
      </c>
      <c r="L111" s="107" t="str">
        <f aca="false">IF($C111="","",IF(Dashboard!$C$4="Gemiddeld per maand",$F111,IF(OR($D111="Per maand",$D111="Per week",$D111=""),$F111,IF($D111="Per jaar",IF(2=$W111,$C111,0),IF($D111="Per half jaar",IF(MOD(2-$W111,6)=0,$C111,0),IF($D111="Per kwartaal",IF(MOD(2-$W111,3)=0,$C111,0),$F111))))))</f>
        <v/>
      </c>
      <c r="M111" s="107" t="str">
        <f aca="false">IF($C111="","",IF(Dashboard!$C$4="Gemiddeld per maand",$F111,IF(OR($D111="Per maand",$D111="Per week",$D111=""),$F111,IF($D111="Per jaar",IF(3=$W111,$C111,0),IF($D111="Per half jaar",IF(MOD(3-$W111,6)=0,$C111,0),IF($D111="Per kwartaal",IF(MOD(3-$W111,3)=0,$C111,0),$F111))))))</f>
        <v/>
      </c>
      <c r="N111" s="107" t="str">
        <f aca="false">IF($C111="","",IF(Dashboard!$C$4="Gemiddeld per maand",$F111,IF(OR($D111="Per maand",$D111="Per week",$D111=""),$F111,IF($D111="Per jaar",IF(4=$W111,$C111,0),IF($D111="Per half jaar",IF(MOD(4-$W111,6)=0,$C111,0),IF($D111="Per kwartaal",IF(MOD(4-$W111,3)=0,$C111,0),$F111))))))</f>
        <v/>
      </c>
      <c r="O111" s="107" t="str">
        <f aca="false">IF($C111="","",IF(Dashboard!$C$4="Gemiddeld per maand",$F111,IF(OR($D111="Per maand",$D111="Per week",$D111=""),$F111,IF($D111="Per jaar",IF(5=$W111,$C111,0),IF($D111="Per half jaar",IF(MOD(5-$W111,6)=0,$C111,0),IF($D111="Per kwartaal",IF(MOD(5-$W111,3)=0,$C111,0),$F111))))))</f>
        <v/>
      </c>
      <c r="P111" s="107" t="str">
        <f aca="false">IF($C111="","",IF(Dashboard!$C$4="Gemiddeld per maand",$F111,IF(OR($D111="Per maand",$D111="Per week",$D111=""),$F111,IF($D111="Per jaar",IF(6=$W111,$C111,0),IF($D111="Per half jaar",IF(MOD(6-$W111,6)=0,$C111,0),IF($D111="Per kwartaal",IF(MOD(6-$W111,3)=0,$C111,0),$F111))))))</f>
        <v/>
      </c>
      <c r="Q111" s="107" t="str">
        <f aca="false">IF($C111="","",IF(Dashboard!$C$4="Gemiddeld per maand",$F111,IF(OR($D111="Per maand",$D111="Per week",$D111=""),$F111,IF($D111="Per jaar",IF(7=$W111,$C111,0),IF($D111="Per half jaar",IF(MOD(7-$W111,6)=0,$C111,0),IF($D111="Per kwartaal",IF(MOD(7-$W111,3)=0,$C111,0),$F111))))))</f>
        <v/>
      </c>
      <c r="R111" s="107" t="str">
        <f aca="false">IF($C111="","",IF(Dashboard!$C$4="Gemiddeld per maand",$F111,IF(OR($D111="Per maand",$D111="Per week",$D111=""),$F111,IF($D111="Per jaar",IF(8=$W111,$C111,0),IF($D111="Per half jaar",IF(MOD(8-$W111,6)=0,$C111,0),IF($D111="Per kwartaal",IF(MOD(8-$W111,3)=0,$C111,0),$F111))))))</f>
        <v/>
      </c>
      <c r="S111" s="107" t="str">
        <f aca="false">IF($C111="","",IF(Dashboard!$C$4="Gemiddeld per maand",$F111,IF(OR($D111="Per maand",$D111="Per week",$D111=""),$F111,IF($D111="Per jaar",IF(9=$W111,$C111,0),IF($D111="Per half jaar",IF(MOD(9-$W111,6)=0,$C111,0),IF($D111="Per kwartaal",IF(MOD(9-$W111,3)=0,$C111,0),$F111))))))</f>
        <v/>
      </c>
      <c r="T111" s="107" t="str">
        <f aca="false">IF($C111="","",IF(Dashboard!$C$4="Gemiddeld per maand",$F111,IF(OR($D111="Per maand",$D111="Per week",$D111=""),$F111,IF($D111="Per jaar",IF(10=$W111,$C111,0),IF($D111="Per half jaar",IF(MOD(10-$W111,6)=0,$C111,0),IF($D111="Per kwartaal",IF(MOD(10-$W111,3)=0,$C111,0),$F111))))))</f>
        <v/>
      </c>
      <c r="U111" s="107" t="str">
        <f aca="false">IF($C111="","",IF(Dashboard!$C$4="Gemiddeld per maand",$F111,IF(OR($D111="Per maand",$D111="Per week",$D111=""),$F111,IF($D111="Per jaar",IF(11=$W111,$C111,0),IF($D111="Per half jaar",IF(MOD(11-$W111,6)=0,$C111,0),IF($D111="Per kwartaal",IF(MOD(11-$W111,3)=0,$C111,0),$F111))))))</f>
        <v/>
      </c>
      <c r="V111" s="107" t="str">
        <f aca="false">IF($C111="","",IF(Dashboard!$C$4="Gemiddeld per maand",$F111,IF(OR($D111="Per maand",$D111="Per week",$D111=""),$F111,IF($D111="Per jaar",IF(12=$W111,$C111,0),IF($D111="Per half jaar",IF(MOD(12-$W111,6)=0,$C111,0),IF($D111="Per kwartaal",IF(MOD(12-$W111,3)=0,$C111,0),$F111))))))</f>
        <v/>
      </c>
      <c r="W111" s="15" t="n">
        <f aca="false">IF($E111="",1,IFERROR(MATCH($E111,Lijsten!$K$6:$K$17,0),1))</f>
        <v>1</v>
      </c>
    </row>
    <row r="112" customFormat="false" ht="15" hidden="false" customHeight="false" outlineLevel="0" collapsed="false">
      <c r="A112" s="102"/>
      <c r="B112" s="102"/>
      <c r="C112" s="92"/>
      <c r="D112" s="102"/>
      <c r="E112" s="103"/>
      <c r="F112" s="104" t="str">
        <f aca="false">IF($C112="","",IF($D112="Per jaar",$C112/12,IF($D112="Per kwartaal",$C112/3,IF($D112="Per half jaar",$C112/6,IF($D112="Per week",$C112*52/12,$C112)))))</f>
        <v/>
      </c>
      <c r="G112" s="102"/>
      <c r="H112" s="103"/>
      <c r="I112" s="105"/>
      <c r="J112" s="106" t="str">
        <f aca="false">IF($C112="","",IF(Dashboard!$C$4="Gemiddeld per maand",$F112,IF(OR($D112="Per maand",$D112="Per week",$D112=""),$F112,IF($D112="Per jaar",IF(Dashboard!$N$2=$W112,$C112,0),IF($D112="Per half jaar",IF(MOD(Dashboard!$N$2-$W112,6)=0,$C112,0),IF($D112="Per kwartaal",IF(MOD(Dashboard!$N$2-$W112,3)=0,$C112,0),$F112))))))</f>
        <v/>
      </c>
      <c r="K112" s="107" t="str">
        <f aca="false">IF($C112="","",IF(Dashboard!$C$4="Gemiddeld per maand",$F112,IF(OR($D112="Per maand",$D112="Per week",$D112=""),$F112,IF($D112="Per jaar",IF(1=$W112,$C112,0),IF($D112="Per half jaar",IF(MOD(1-$W112,6)=0,$C112,0),IF($D112="Per kwartaal",IF(MOD(1-$W112,3)=0,$C112,0),$F112))))))</f>
        <v/>
      </c>
      <c r="L112" s="107" t="str">
        <f aca="false">IF($C112="","",IF(Dashboard!$C$4="Gemiddeld per maand",$F112,IF(OR($D112="Per maand",$D112="Per week",$D112=""),$F112,IF($D112="Per jaar",IF(2=$W112,$C112,0),IF($D112="Per half jaar",IF(MOD(2-$W112,6)=0,$C112,0),IF($D112="Per kwartaal",IF(MOD(2-$W112,3)=0,$C112,0),$F112))))))</f>
        <v/>
      </c>
      <c r="M112" s="107" t="str">
        <f aca="false">IF($C112="","",IF(Dashboard!$C$4="Gemiddeld per maand",$F112,IF(OR($D112="Per maand",$D112="Per week",$D112=""),$F112,IF($D112="Per jaar",IF(3=$W112,$C112,0),IF($D112="Per half jaar",IF(MOD(3-$W112,6)=0,$C112,0),IF($D112="Per kwartaal",IF(MOD(3-$W112,3)=0,$C112,0),$F112))))))</f>
        <v/>
      </c>
      <c r="N112" s="107" t="str">
        <f aca="false">IF($C112="","",IF(Dashboard!$C$4="Gemiddeld per maand",$F112,IF(OR($D112="Per maand",$D112="Per week",$D112=""),$F112,IF($D112="Per jaar",IF(4=$W112,$C112,0),IF($D112="Per half jaar",IF(MOD(4-$W112,6)=0,$C112,0),IF($D112="Per kwartaal",IF(MOD(4-$W112,3)=0,$C112,0),$F112))))))</f>
        <v/>
      </c>
      <c r="O112" s="107" t="str">
        <f aca="false">IF($C112="","",IF(Dashboard!$C$4="Gemiddeld per maand",$F112,IF(OR($D112="Per maand",$D112="Per week",$D112=""),$F112,IF($D112="Per jaar",IF(5=$W112,$C112,0),IF($D112="Per half jaar",IF(MOD(5-$W112,6)=0,$C112,0),IF($D112="Per kwartaal",IF(MOD(5-$W112,3)=0,$C112,0),$F112))))))</f>
        <v/>
      </c>
      <c r="P112" s="107" t="str">
        <f aca="false">IF($C112="","",IF(Dashboard!$C$4="Gemiddeld per maand",$F112,IF(OR($D112="Per maand",$D112="Per week",$D112=""),$F112,IF($D112="Per jaar",IF(6=$W112,$C112,0),IF($D112="Per half jaar",IF(MOD(6-$W112,6)=0,$C112,0),IF($D112="Per kwartaal",IF(MOD(6-$W112,3)=0,$C112,0),$F112))))))</f>
        <v/>
      </c>
      <c r="Q112" s="107" t="str">
        <f aca="false">IF($C112="","",IF(Dashboard!$C$4="Gemiddeld per maand",$F112,IF(OR($D112="Per maand",$D112="Per week",$D112=""),$F112,IF($D112="Per jaar",IF(7=$W112,$C112,0),IF($D112="Per half jaar",IF(MOD(7-$W112,6)=0,$C112,0),IF($D112="Per kwartaal",IF(MOD(7-$W112,3)=0,$C112,0),$F112))))))</f>
        <v/>
      </c>
      <c r="R112" s="107" t="str">
        <f aca="false">IF($C112="","",IF(Dashboard!$C$4="Gemiddeld per maand",$F112,IF(OR($D112="Per maand",$D112="Per week",$D112=""),$F112,IF($D112="Per jaar",IF(8=$W112,$C112,0),IF($D112="Per half jaar",IF(MOD(8-$W112,6)=0,$C112,0),IF($D112="Per kwartaal",IF(MOD(8-$W112,3)=0,$C112,0),$F112))))))</f>
        <v/>
      </c>
      <c r="S112" s="107" t="str">
        <f aca="false">IF($C112="","",IF(Dashboard!$C$4="Gemiddeld per maand",$F112,IF(OR($D112="Per maand",$D112="Per week",$D112=""),$F112,IF($D112="Per jaar",IF(9=$W112,$C112,0),IF($D112="Per half jaar",IF(MOD(9-$W112,6)=0,$C112,0),IF($D112="Per kwartaal",IF(MOD(9-$W112,3)=0,$C112,0),$F112))))))</f>
        <v/>
      </c>
      <c r="T112" s="107" t="str">
        <f aca="false">IF($C112="","",IF(Dashboard!$C$4="Gemiddeld per maand",$F112,IF(OR($D112="Per maand",$D112="Per week",$D112=""),$F112,IF($D112="Per jaar",IF(10=$W112,$C112,0),IF($D112="Per half jaar",IF(MOD(10-$W112,6)=0,$C112,0),IF($D112="Per kwartaal",IF(MOD(10-$W112,3)=0,$C112,0),$F112))))))</f>
        <v/>
      </c>
      <c r="U112" s="107" t="str">
        <f aca="false">IF($C112="","",IF(Dashboard!$C$4="Gemiddeld per maand",$F112,IF(OR($D112="Per maand",$D112="Per week",$D112=""),$F112,IF($D112="Per jaar",IF(11=$W112,$C112,0),IF($D112="Per half jaar",IF(MOD(11-$W112,6)=0,$C112,0),IF($D112="Per kwartaal",IF(MOD(11-$W112,3)=0,$C112,0),$F112))))))</f>
        <v/>
      </c>
      <c r="V112" s="107" t="str">
        <f aca="false">IF($C112="","",IF(Dashboard!$C$4="Gemiddeld per maand",$F112,IF(OR($D112="Per maand",$D112="Per week",$D112=""),$F112,IF($D112="Per jaar",IF(12=$W112,$C112,0),IF($D112="Per half jaar",IF(MOD(12-$W112,6)=0,$C112,0),IF($D112="Per kwartaal",IF(MOD(12-$W112,3)=0,$C112,0),$F112))))))</f>
        <v/>
      </c>
      <c r="W112" s="15" t="n">
        <f aca="false">IF($E112="",1,IFERROR(MATCH($E112,Lijsten!$K$6:$K$17,0),1))</f>
        <v>1</v>
      </c>
    </row>
    <row r="113" customFormat="false" ht="15" hidden="false" customHeight="false" outlineLevel="0" collapsed="false">
      <c r="A113" s="102"/>
      <c r="B113" s="102"/>
      <c r="C113" s="92"/>
      <c r="D113" s="102"/>
      <c r="E113" s="103"/>
      <c r="F113" s="104" t="str">
        <f aca="false">IF($C113="","",IF($D113="Per jaar",$C113/12,IF($D113="Per kwartaal",$C113/3,IF($D113="Per half jaar",$C113/6,IF($D113="Per week",$C113*52/12,$C113)))))</f>
        <v/>
      </c>
      <c r="G113" s="102"/>
      <c r="H113" s="103"/>
      <c r="I113" s="105"/>
      <c r="J113" s="106" t="str">
        <f aca="false">IF($C113="","",IF(Dashboard!$C$4="Gemiddeld per maand",$F113,IF(OR($D113="Per maand",$D113="Per week",$D113=""),$F113,IF($D113="Per jaar",IF(Dashboard!$N$2=$W113,$C113,0),IF($D113="Per half jaar",IF(MOD(Dashboard!$N$2-$W113,6)=0,$C113,0),IF($D113="Per kwartaal",IF(MOD(Dashboard!$N$2-$W113,3)=0,$C113,0),$F113))))))</f>
        <v/>
      </c>
      <c r="K113" s="107" t="str">
        <f aca="false">IF($C113="","",IF(Dashboard!$C$4="Gemiddeld per maand",$F113,IF(OR($D113="Per maand",$D113="Per week",$D113=""),$F113,IF($D113="Per jaar",IF(1=$W113,$C113,0),IF($D113="Per half jaar",IF(MOD(1-$W113,6)=0,$C113,0),IF($D113="Per kwartaal",IF(MOD(1-$W113,3)=0,$C113,0),$F113))))))</f>
        <v/>
      </c>
      <c r="L113" s="107" t="str">
        <f aca="false">IF($C113="","",IF(Dashboard!$C$4="Gemiddeld per maand",$F113,IF(OR($D113="Per maand",$D113="Per week",$D113=""),$F113,IF($D113="Per jaar",IF(2=$W113,$C113,0),IF($D113="Per half jaar",IF(MOD(2-$W113,6)=0,$C113,0),IF($D113="Per kwartaal",IF(MOD(2-$W113,3)=0,$C113,0),$F113))))))</f>
        <v/>
      </c>
      <c r="M113" s="107" t="str">
        <f aca="false">IF($C113="","",IF(Dashboard!$C$4="Gemiddeld per maand",$F113,IF(OR($D113="Per maand",$D113="Per week",$D113=""),$F113,IF($D113="Per jaar",IF(3=$W113,$C113,0),IF($D113="Per half jaar",IF(MOD(3-$W113,6)=0,$C113,0),IF($D113="Per kwartaal",IF(MOD(3-$W113,3)=0,$C113,0),$F113))))))</f>
        <v/>
      </c>
      <c r="N113" s="107" t="str">
        <f aca="false">IF($C113="","",IF(Dashboard!$C$4="Gemiddeld per maand",$F113,IF(OR($D113="Per maand",$D113="Per week",$D113=""),$F113,IF($D113="Per jaar",IF(4=$W113,$C113,0),IF($D113="Per half jaar",IF(MOD(4-$W113,6)=0,$C113,0),IF($D113="Per kwartaal",IF(MOD(4-$W113,3)=0,$C113,0),$F113))))))</f>
        <v/>
      </c>
      <c r="O113" s="107" t="str">
        <f aca="false">IF($C113="","",IF(Dashboard!$C$4="Gemiddeld per maand",$F113,IF(OR($D113="Per maand",$D113="Per week",$D113=""),$F113,IF($D113="Per jaar",IF(5=$W113,$C113,0),IF($D113="Per half jaar",IF(MOD(5-$W113,6)=0,$C113,0),IF($D113="Per kwartaal",IF(MOD(5-$W113,3)=0,$C113,0),$F113))))))</f>
        <v/>
      </c>
      <c r="P113" s="107" t="str">
        <f aca="false">IF($C113="","",IF(Dashboard!$C$4="Gemiddeld per maand",$F113,IF(OR($D113="Per maand",$D113="Per week",$D113=""),$F113,IF($D113="Per jaar",IF(6=$W113,$C113,0),IF($D113="Per half jaar",IF(MOD(6-$W113,6)=0,$C113,0),IF($D113="Per kwartaal",IF(MOD(6-$W113,3)=0,$C113,0),$F113))))))</f>
        <v/>
      </c>
      <c r="Q113" s="107" t="str">
        <f aca="false">IF($C113="","",IF(Dashboard!$C$4="Gemiddeld per maand",$F113,IF(OR($D113="Per maand",$D113="Per week",$D113=""),$F113,IF($D113="Per jaar",IF(7=$W113,$C113,0),IF($D113="Per half jaar",IF(MOD(7-$W113,6)=0,$C113,0),IF($D113="Per kwartaal",IF(MOD(7-$W113,3)=0,$C113,0),$F113))))))</f>
        <v/>
      </c>
      <c r="R113" s="107" t="str">
        <f aca="false">IF($C113="","",IF(Dashboard!$C$4="Gemiddeld per maand",$F113,IF(OR($D113="Per maand",$D113="Per week",$D113=""),$F113,IF($D113="Per jaar",IF(8=$W113,$C113,0),IF($D113="Per half jaar",IF(MOD(8-$W113,6)=0,$C113,0),IF($D113="Per kwartaal",IF(MOD(8-$W113,3)=0,$C113,0),$F113))))))</f>
        <v/>
      </c>
      <c r="S113" s="107" t="str">
        <f aca="false">IF($C113="","",IF(Dashboard!$C$4="Gemiddeld per maand",$F113,IF(OR($D113="Per maand",$D113="Per week",$D113=""),$F113,IF($D113="Per jaar",IF(9=$W113,$C113,0),IF($D113="Per half jaar",IF(MOD(9-$W113,6)=0,$C113,0),IF($D113="Per kwartaal",IF(MOD(9-$W113,3)=0,$C113,0),$F113))))))</f>
        <v/>
      </c>
      <c r="T113" s="107" t="str">
        <f aca="false">IF($C113="","",IF(Dashboard!$C$4="Gemiddeld per maand",$F113,IF(OR($D113="Per maand",$D113="Per week",$D113=""),$F113,IF($D113="Per jaar",IF(10=$W113,$C113,0),IF($D113="Per half jaar",IF(MOD(10-$W113,6)=0,$C113,0),IF($D113="Per kwartaal",IF(MOD(10-$W113,3)=0,$C113,0),$F113))))))</f>
        <v/>
      </c>
      <c r="U113" s="107" t="str">
        <f aca="false">IF($C113="","",IF(Dashboard!$C$4="Gemiddeld per maand",$F113,IF(OR($D113="Per maand",$D113="Per week",$D113=""),$F113,IF($D113="Per jaar",IF(11=$W113,$C113,0),IF($D113="Per half jaar",IF(MOD(11-$W113,6)=0,$C113,0),IF($D113="Per kwartaal",IF(MOD(11-$W113,3)=0,$C113,0),$F113))))))</f>
        <v/>
      </c>
      <c r="V113" s="107" t="str">
        <f aca="false">IF($C113="","",IF(Dashboard!$C$4="Gemiddeld per maand",$F113,IF(OR($D113="Per maand",$D113="Per week",$D113=""),$F113,IF($D113="Per jaar",IF(12=$W113,$C113,0),IF($D113="Per half jaar",IF(MOD(12-$W113,6)=0,$C113,0),IF($D113="Per kwartaal",IF(MOD(12-$W113,3)=0,$C113,0),$F113))))))</f>
        <v/>
      </c>
      <c r="W113" s="15" t="n">
        <f aca="false">IF($E113="",1,IFERROR(MATCH($E113,Lijsten!$K$6:$K$17,0),1))</f>
        <v>1</v>
      </c>
    </row>
    <row r="114" customFormat="false" ht="15" hidden="false" customHeight="false" outlineLevel="0" collapsed="false">
      <c r="A114" s="102"/>
      <c r="B114" s="102"/>
      <c r="C114" s="92"/>
      <c r="D114" s="102"/>
      <c r="E114" s="103"/>
      <c r="F114" s="104" t="str">
        <f aca="false">IF($C114="","",IF($D114="Per jaar",$C114/12,IF($D114="Per kwartaal",$C114/3,IF($D114="Per half jaar",$C114/6,IF($D114="Per week",$C114*52/12,$C114)))))</f>
        <v/>
      </c>
      <c r="G114" s="102"/>
      <c r="H114" s="103"/>
      <c r="I114" s="105"/>
      <c r="J114" s="106" t="str">
        <f aca="false">IF($C114="","",IF(Dashboard!$C$4="Gemiddeld per maand",$F114,IF(OR($D114="Per maand",$D114="Per week",$D114=""),$F114,IF($D114="Per jaar",IF(Dashboard!$N$2=$W114,$C114,0),IF($D114="Per half jaar",IF(MOD(Dashboard!$N$2-$W114,6)=0,$C114,0),IF($D114="Per kwartaal",IF(MOD(Dashboard!$N$2-$W114,3)=0,$C114,0),$F114))))))</f>
        <v/>
      </c>
      <c r="K114" s="107" t="str">
        <f aca="false">IF($C114="","",IF(Dashboard!$C$4="Gemiddeld per maand",$F114,IF(OR($D114="Per maand",$D114="Per week",$D114=""),$F114,IF($D114="Per jaar",IF(1=$W114,$C114,0),IF($D114="Per half jaar",IF(MOD(1-$W114,6)=0,$C114,0),IF($D114="Per kwartaal",IF(MOD(1-$W114,3)=0,$C114,0),$F114))))))</f>
        <v/>
      </c>
      <c r="L114" s="107" t="str">
        <f aca="false">IF($C114="","",IF(Dashboard!$C$4="Gemiddeld per maand",$F114,IF(OR($D114="Per maand",$D114="Per week",$D114=""),$F114,IF($D114="Per jaar",IF(2=$W114,$C114,0),IF($D114="Per half jaar",IF(MOD(2-$W114,6)=0,$C114,0),IF($D114="Per kwartaal",IF(MOD(2-$W114,3)=0,$C114,0),$F114))))))</f>
        <v/>
      </c>
      <c r="M114" s="107" t="str">
        <f aca="false">IF($C114="","",IF(Dashboard!$C$4="Gemiddeld per maand",$F114,IF(OR($D114="Per maand",$D114="Per week",$D114=""),$F114,IF($D114="Per jaar",IF(3=$W114,$C114,0),IF($D114="Per half jaar",IF(MOD(3-$W114,6)=0,$C114,0),IF($D114="Per kwartaal",IF(MOD(3-$W114,3)=0,$C114,0),$F114))))))</f>
        <v/>
      </c>
      <c r="N114" s="107" t="str">
        <f aca="false">IF($C114="","",IF(Dashboard!$C$4="Gemiddeld per maand",$F114,IF(OR($D114="Per maand",$D114="Per week",$D114=""),$F114,IF($D114="Per jaar",IF(4=$W114,$C114,0),IF($D114="Per half jaar",IF(MOD(4-$W114,6)=0,$C114,0),IF($D114="Per kwartaal",IF(MOD(4-$W114,3)=0,$C114,0),$F114))))))</f>
        <v/>
      </c>
      <c r="O114" s="107" t="str">
        <f aca="false">IF($C114="","",IF(Dashboard!$C$4="Gemiddeld per maand",$F114,IF(OR($D114="Per maand",$D114="Per week",$D114=""),$F114,IF($D114="Per jaar",IF(5=$W114,$C114,0),IF($D114="Per half jaar",IF(MOD(5-$W114,6)=0,$C114,0),IF($D114="Per kwartaal",IF(MOD(5-$W114,3)=0,$C114,0),$F114))))))</f>
        <v/>
      </c>
      <c r="P114" s="107" t="str">
        <f aca="false">IF($C114="","",IF(Dashboard!$C$4="Gemiddeld per maand",$F114,IF(OR($D114="Per maand",$D114="Per week",$D114=""),$F114,IF($D114="Per jaar",IF(6=$W114,$C114,0),IF($D114="Per half jaar",IF(MOD(6-$W114,6)=0,$C114,0),IF($D114="Per kwartaal",IF(MOD(6-$W114,3)=0,$C114,0),$F114))))))</f>
        <v/>
      </c>
      <c r="Q114" s="107" t="str">
        <f aca="false">IF($C114="","",IF(Dashboard!$C$4="Gemiddeld per maand",$F114,IF(OR($D114="Per maand",$D114="Per week",$D114=""),$F114,IF($D114="Per jaar",IF(7=$W114,$C114,0),IF($D114="Per half jaar",IF(MOD(7-$W114,6)=0,$C114,0),IF($D114="Per kwartaal",IF(MOD(7-$W114,3)=0,$C114,0),$F114))))))</f>
        <v/>
      </c>
      <c r="R114" s="107" t="str">
        <f aca="false">IF($C114="","",IF(Dashboard!$C$4="Gemiddeld per maand",$F114,IF(OR($D114="Per maand",$D114="Per week",$D114=""),$F114,IF($D114="Per jaar",IF(8=$W114,$C114,0),IF($D114="Per half jaar",IF(MOD(8-$W114,6)=0,$C114,0),IF($D114="Per kwartaal",IF(MOD(8-$W114,3)=0,$C114,0),$F114))))))</f>
        <v/>
      </c>
      <c r="S114" s="107" t="str">
        <f aca="false">IF($C114="","",IF(Dashboard!$C$4="Gemiddeld per maand",$F114,IF(OR($D114="Per maand",$D114="Per week",$D114=""),$F114,IF($D114="Per jaar",IF(9=$W114,$C114,0),IF($D114="Per half jaar",IF(MOD(9-$W114,6)=0,$C114,0),IF($D114="Per kwartaal",IF(MOD(9-$W114,3)=0,$C114,0),$F114))))))</f>
        <v/>
      </c>
      <c r="T114" s="107" t="str">
        <f aca="false">IF($C114="","",IF(Dashboard!$C$4="Gemiddeld per maand",$F114,IF(OR($D114="Per maand",$D114="Per week",$D114=""),$F114,IF($D114="Per jaar",IF(10=$W114,$C114,0),IF($D114="Per half jaar",IF(MOD(10-$W114,6)=0,$C114,0),IF($D114="Per kwartaal",IF(MOD(10-$W114,3)=0,$C114,0),$F114))))))</f>
        <v/>
      </c>
      <c r="U114" s="107" t="str">
        <f aca="false">IF($C114="","",IF(Dashboard!$C$4="Gemiddeld per maand",$F114,IF(OR($D114="Per maand",$D114="Per week",$D114=""),$F114,IF($D114="Per jaar",IF(11=$W114,$C114,0),IF($D114="Per half jaar",IF(MOD(11-$W114,6)=0,$C114,0),IF($D114="Per kwartaal",IF(MOD(11-$W114,3)=0,$C114,0),$F114))))))</f>
        <v/>
      </c>
      <c r="V114" s="107" t="str">
        <f aca="false">IF($C114="","",IF(Dashboard!$C$4="Gemiddeld per maand",$F114,IF(OR($D114="Per maand",$D114="Per week",$D114=""),$F114,IF($D114="Per jaar",IF(12=$W114,$C114,0),IF($D114="Per half jaar",IF(MOD(12-$W114,6)=0,$C114,0),IF($D114="Per kwartaal",IF(MOD(12-$W114,3)=0,$C114,0),$F114))))))</f>
        <v/>
      </c>
      <c r="W114" s="15" t="n">
        <f aca="false">IF($E114="",1,IFERROR(MATCH($E114,Lijsten!$K$6:$K$17,0),1))</f>
        <v>1</v>
      </c>
    </row>
    <row r="115" customFormat="false" ht="15" hidden="false" customHeight="false" outlineLevel="0" collapsed="false">
      <c r="A115" s="102"/>
      <c r="B115" s="102"/>
      <c r="C115" s="92"/>
      <c r="D115" s="102"/>
      <c r="E115" s="103"/>
      <c r="F115" s="104" t="str">
        <f aca="false">IF($C115="","",IF($D115="Per jaar",$C115/12,IF($D115="Per kwartaal",$C115/3,IF($D115="Per half jaar",$C115/6,IF($D115="Per week",$C115*52/12,$C115)))))</f>
        <v/>
      </c>
      <c r="G115" s="102"/>
      <c r="H115" s="103"/>
      <c r="I115" s="105"/>
      <c r="J115" s="106" t="str">
        <f aca="false">IF($C115="","",IF(Dashboard!$C$4="Gemiddeld per maand",$F115,IF(OR($D115="Per maand",$D115="Per week",$D115=""),$F115,IF($D115="Per jaar",IF(Dashboard!$N$2=$W115,$C115,0),IF($D115="Per half jaar",IF(MOD(Dashboard!$N$2-$W115,6)=0,$C115,0),IF($D115="Per kwartaal",IF(MOD(Dashboard!$N$2-$W115,3)=0,$C115,0),$F115))))))</f>
        <v/>
      </c>
      <c r="K115" s="107" t="str">
        <f aca="false">IF($C115="","",IF(Dashboard!$C$4="Gemiddeld per maand",$F115,IF(OR($D115="Per maand",$D115="Per week",$D115=""),$F115,IF($D115="Per jaar",IF(1=$W115,$C115,0),IF($D115="Per half jaar",IF(MOD(1-$W115,6)=0,$C115,0),IF($D115="Per kwartaal",IF(MOD(1-$W115,3)=0,$C115,0),$F115))))))</f>
        <v/>
      </c>
      <c r="L115" s="107" t="str">
        <f aca="false">IF($C115="","",IF(Dashboard!$C$4="Gemiddeld per maand",$F115,IF(OR($D115="Per maand",$D115="Per week",$D115=""),$F115,IF($D115="Per jaar",IF(2=$W115,$C115,0),IF($D115="Per half jaar",IF(MOD(2-$W115,6)=0,$C115,0),IF($D115="Per kwartaal",IF(MOD(2-$W115,3)=0,$C115,0),$F115))))))</f>
        <v/>
      </c>
      <c r="M115" s="107" t="str">
        <f aca="false">IF($C115="","",IF(Dashboard!$C$4="Gemiddeld per maand",$F115,IF(OR($D115="Per maand",$D115="Per week",$D115=""),$F115,IF($D115="Per jaar",IF(3=$W115,$C115,0),IF($D115="Per half jaar",IF(MOD(3-$W115,6)=0,$C115,0),IF($D115="Per kwartaal",IF(MOD(3-$W115,3)=0,$C115,0),$F115))))))</f>
        <v/>
      </c>
      <c r="N115" s="107" t="str">
        <f aca="false">IF($C115="","",IF(Dashboard!$C$4="Gemiddeld per maand",$F115,IF(OR($D115="Per maand",$D115="Per week",$D115=""),$F115,IF($D115="Per jaar",IF(4=$W115,$C115,0),IF($D115="Per half jaar",IF(MOD(4-$W115,6)=0,$C115,0),IF($D115="Per kwartaal",IF(MOD(4-$W115,3)=0,$C115,0),$F115))))))</f>
        <v/>
      </c>
      <c r="O115" s="107" t="str">
        <f aca="false">IF($C115="","",IF(Dashboard!$C$4="Gemiddeld per maand",$F115,IF(OR($D115="Per maand",$D115="Per week",$D115=""),$F115,IF($D115="Per jaar",IF(5=$W115,$C115,0),IF($D115="Per half jaar",IF(MOD(5-$W115,6)=0,$C115,0),IF($D115="Per kwartaal",IF(MOD(5-$W115,3)=0,$C115,0),$F115))))))</f>
        <v/>
      </c>
      <c r="P115" s="107" t="str">
        <f aca="false">IF($C115="","",IF(Dashboard!$C$4="Gemiddeld per maand",$F115,IF(OR($D115="Per maand",$D115="Per week",$D115=""),$F115,IF($D115="Per jaar",IF(6=$W115,$C115,0),IF($D115="Per half jaar",IF(MOD(6-$W115,6)=0,$C115,0),IF($D115="Per kwartaal",IF(MOD(6-$W115,3)=0,$C115,0),$F115))))))</f>
        <v/>
      </c>
      <c r="Q115" s="107" t="str">
        <f aca="false">IF($C115="","",IF(Dashboard!$C$4="Gemiddeld per maand",$F115,IF(OR($D115="Per maand",$D115="Per week",$D115=""),$F115,IF($D115="Per jaar",IF(7=$W115,$C115,0),IF($D115="Per half jaar",IF(MOD(7-$W115,6)=0,$C115,0),IF($D115="Per kwartaal",IF(MOD(7-$W115,3)=0,$C115,0),$F115))))))</f>
        <v/>
      </c>
      <c r="R115" s="107" t="str">
        <f aca="false">IF($C115="","",IF(Dashboard!$C$4="Gemiddeld per maand",$F115,IF(OR($D115="Per maand",$D115="Per week",$D115=""),$F115,IF($D115="Per jaar",IF(8=$W115,$C115,0),IF($D115="Per half jaar",IF(MOD(8-$W115,6)=0,$C115,0),IF($D115="Per kwartaal",IF(MOD(8-$W115,3)=0,$C115,0),$F115))))))</f>
        <v/>
      </c>
      <c r="S115" s="107" t="str">
        <f aca="false">IF($C115="","",IF(Dashboard!$C$4="Gemiddeld per maand",$F115,IF(OR($D115="Per maand",$D115="Per week",$D115=""),$F115,IF($D115="Per jaar",IF(9=$W115,$C115,0),IF($D115="Per half jaar",IF(MOD(9-$W115,6)=0,$C115,0),IF($D115="Per kwartaal",IF(MOD(9-$W115,3)=0,$C115,0),$F115))))))</f>
        <v/>
      </c>
      <c r="T115" s="107" t="str">
        <f aca="false">IF($C115="","",IF(Dashboard!$C$4="Gemiddeld per maand",$F115,IF(OR($D115="Per maand",$D115="Per week",$D115=""),$F115,IF($D115="Per jaar",IF(10=$W115,$C115,0),IF($D115="Per half jaar",IF(MOD(10-$W115,6)=0,$C115,0),IF($D115="Per kwartaal",IF(MOD(10-$W115,3)=0,$C115,0),$F115))))))</f>
        <v/>
      </c>
      <c r="U115" s="107" t="str">
        <f aca="false">IF($C115="","",IF(Dashboard!$C$4="Gemiddeld per maand",$F115,IF(OR($D115="Per maand",$D115="Per week",$D115=""),$F115,IF($D115="Per jaar",IF(11=$W115,$C115,0),IF($D115="Per half jaar",IF(MOD(11-$W115,6)=0,$C115,0),IF($D115="Per kwartaal",IF(MOD(11-$W115,3)=0,$C115,0),$F115))))))</f>
        <v/>
      </c>
      <c r="V115" s="107" t="str">
        <f aca="false">IF($C115="","",IF(Dashboard!$C$4="Gemiddeld per maand",$F115,IF(OR($D115="Per maand",$D115="Per week",$D115=""),$F115,IF($D115="Per jaar",IF(12=$W115,$C115,0),IF($D115="Per half jaar",IF(MOD(12-$W115,6)=0,$C115,0),IF($D115="Per kwartaal",IF(MOD(12-$W115,3)=0,$C115,0),$F115))))))</f>
        <v/>
      </c>
      <c r="W115" s="15" t="n">
        <f aca="false">IF($E115="",1,IFERROR(MATCH($E115,Lijsten!$K$6:$K$17,0),1))</f>
        <v>1</v>
      </c>
    </row>
    <row r="116" customFormat="false" ht="15" hidden="false" customHeight="false" outlineLevel="0" collapsed="false">
      <c r="A116" s="102"/>
      <c r="B116" s="102"/>
      <c r="C116" s="92"/>
      <c r="D116" s="102"/>
      <c r="E116" s="103"/>
      <c r="F116" s="104" t="str">
        <f aca="false">IF($C116="","",IF($D116="Per jaar",$C116/12,IF($D116="Per kwartaal",$C116/3,IF($D116="Per half jaar",$C116/6,IF($D116="Per week",$C116*52/12,$C116)))))</f>
        <v/>
      </c>
      <c r="G116" s="102"/>
      <c r="H116" s="103"/>
      <c r="I116" s="105"/>
      <c r="J116" s="106" t="str">
        <f aca="false">IF($C116="","",IF(Dashboard!$C$4="Gemiddeld per maand",$F116,IF(OR($D116="Per maand",$D116="Per week",$D116=""),$F116,IF($D116="Per jaar",IF(Dashboard!$N$2=$W116,$C116,0),IF($D116="Per half jaar",IF(MOD(Dashboard!$N$2-$W116,6)=0,$C116,0),IF($D116="Per kwartaal",IF(MOD(Dashboard!$N$2-$W116,3)=0,$C116,0),$F116))))))</f>
        <v/>
      </c>
      <c r="K116" s="107" t="str">
        <f aca="false">IF($C116="","",IF(Dashboard!$C$4="Gemiddeld per maand",$F116,IF(OR($D116="Per maand",$D116="Per week",$D116=""),$F116,IF($D116="Per jaar",IF(1=$W116,$C116,0),IF($D116="Per half jaar",IF(MOD(1-$W116,6)=0,$C116,0),IF($D116="Per kwartaal",IF(MOD(1-$W116,3)=0,$C116,0),$F116))))))</f>
        <v/>
      </c>
      <c r="L116" s="107" t="str">
        <f aca="false">IF($C116="","",IF(Dashboard!$C$4="Gemiddeld per maand",$F116,IF(OR($D116="Per maand",$D116="Per week",$D116=""),$F116,IF($D116="Per jaar",IF(2=$W116,$C116,0),IF($D116="Per half jaar",IF(MOD(2-$W116,6)=0,$C116,0),IF($D116="Per kwartaal",IF(MOD(2-$W116,3)=0,$C116,0),$F116))))))</f>
        <v/>
      </c>
      <c r="M116" s="107" t="str">
        <f aca="false">IF($C116="","",IF(Dashboard!$C$4="Gemiddeld per maand",$F116,IF(OR($D116="Per maand",$D116="Per week",$D116=""),$F116,IF($D116="Per jaar",IF(3=$W116,$C116,0),IF($D116="Per half jaar",IF(MOD(3-$W116,6)=0,$C116,0),IF($D116="Per kwartaal",IF(MOD(3-$W116,3)=0,$C116,0),$F116))))))</f>
        <v/>
      </c>
      <c r="N116" s="107" t="str">
        <f aca="false">IF($C116="","",IF(Dashboard!$C$4="Gemiddeld per maand",$F116,IF(OR($D116="Per maand",$D116="Per week",$D116=""),$F116,IF($D116="Per jaar",IF(4=$W116,$C116,0),IF($D116="Per half jaar",IF(MOD(4-$W116,6)=0,$C116,0),IF($D116="Per kwartaal",IF(MOD(4-$W116,3)=0,$C116,0),$F116))))))</f>
        <v/>
      </c>
      <c r="O116" s="107" t="str">
        <f aca="false">IF($C116="","",IF(Dashboard!$C$4="Gemiddeld per maand",$F116,IF(OR($D116="Per maand",$D116="Per week",$D116=""),$F116,IF($D116="Per jaar",IF(5=$W116,$C116,0),IF($D116="Per half jaar",IF(MOD(5-$W116,6)=0,$C116,0),IF($D116="Per kwartaal",IF(MOD(5-$W116,3)=0,$C116,0),$F116))))))</f>
        <v/>
      </c>
      <c r="P116" s="107" t="str">
        <f aca="false">IF($C116="","",IF(Dashboard!$C$4="Gemiddeld per maand",$F116,IF(OR($D116="Per maand",$D116="Per week",$D116=""),$F116,IF($D116="Per jaar",IF(6=$W116,$C116,0),IF($D116="Per half jaar",IF(MOD(6-$W116,6)=0,$C116,0),IF($D116="Per kwartaal",IF(MOD(6-$W116,3)=0,$C116,0),$F116))))))</f>
        <v/>
      </c>
      <c r="Q116" s="107" t="str">
        <f aca="false">IF($C116="","",IF(Dashboard!$C$4="Gemiddeld per maand",$F116,IF(OR($D116="Per maand",$D116="Per week",$D116=""),$F116,IF($D116="Per jaar",IF(7=$W116,$C116,0),IF($D116="Per half jaar",IF(MOD(7-$W116,6)=0,$C116,0),IF($D116="Per kwartaal",IF(MOD(7-$W116,3)=0,$C116,0),$F116))))))</f>
        <v/>
      </c>
      <c r="R116" s="107" t="str">
        <f aca="false">IF($C116="","",IF(Dashboard!$C$4="Gemiddeld per maand",$F116,IF(OR($D116="Per maand",$D116="Per week",$D116=""),$F116,IF($D116="Per jaar",IF(8=$W116,$C116,0),IF($D116="Per half jaar",IF(MOD(8-$W116,6)=0,$C116,0),IF($D116="Per kwartaal",IF(MOD(8-$W116,3)=0,$C116,0),$F116))))))</f>
        <v/>
      </c>
      <c r="S116" s="107" t="str">
        <f aca="false">IF($C116="","",IF(Dashboard!$C$4="Gemiddeld per maand",$F116,IF(OR($D116="Per maand",$D116="Per week",$D116=""),$F116,IF($D116="Per jaar",IF(9=$W116,$C116,0),IF($D116="Per half jaar",IF(MOD(9-$W116,6)=0,$C116,0),IF($D116="Per kwartaal",IF(MOD(9-$W116,3)=0,$C116,0),$F116))))))</f>
        <v/>
      </c>
      <c r="T116" s="107" t="str">
        <f aca="false">IF($C116="","",IF(Dashboard!$C$4="Gemiddeld per maand",$F116,IF(OR($D116="Per maand",$D116="Per week",$D116=""),$F116,IF($D116="Per jaar",IF(10=$W116,$C116,0),IF($D116="Per half jaar",IF(MOD(10-$W116,6)=0,$C116,0),IF($D116="Per kwartaal",IF(MOD(10-$W116,3)=0,$C116,0),$F116))))))</f>
        <v/>
      </c>
      <c r="U116" s="107" t="str">
        <f aca="false">IF($C116="","",IF(Dashboard!$C$4="Gemiddeld per maand",$F116,IF(OR($D116="Per maand",$D116="Per week",$D116=""),$F116,IF($D116="Per jaar",IF(11=$W116,$C116,0),IF($D116="Per half jaar",IF(MOD(11-$W116,6)=0,$C116,0),IF($D116="Per kwartaal",IF(MOD(11-$W116,3)=0,$C116,0),$F116))))))</f>
        <v/>
      </c>
      <c r="V116" s="107" t="str">
        <f aca="false">IF($C116="","",IF(Dashboard!$C$4="Gemiddeld per maand",$F116,IF(OR($D116="Per maand",$D116="Per week",$D116=""),$F116,IF($D116="Per jaar",IF(12=$W116,$C116,0),IF($D116="Per half jaar",IF(MOD(12-$W116,6)=0,$C116,0),IF($D116="Per kwartaal",IF(MOD(12-$W116,3)=0,$C116,0),$F116))))))</f>
        <v/>
      </c>
      <c r="W116" s="15" t="n">
        <f aca="false">IF($E116="",1,IFERROR(MATCH($E116,Lijsten!$K$6:$K$17,0),1))</f>
        <v>1</v>
      </c>
    </row>
    <row r="117" customFormat="false" ht="15" hidden="false" customHeight="false" outlineLevel="0" collapsed="false">
      <c r="A117" s="102"/>
      <c r="B117" s="102"/>
      <c r="C117" s="92"/>
      <c r="D117" s="102"/>
      <c r="E117" s="103"/>
      <c r="F117" s="104" t="str">
        <f aca="false">IF($C117="","",IF($D117="Per jaar",$C117/12,IF($D117="Per kwartaal",$C117/3,IF($D117="Per half jaar",$C117/6,IF($D117="Per week",$C117*52/12,$C117)))))</f>
        <v/>
      </c>
      <c r="G117" s="102"/>
      <c r="H117" s="103"/>
      <c r="I117" s="105"/>
      <c r="J117" s="106" t="str">
        <f aca="false">IF($C117="","",IF(Dashboard!$C$4="Gemiddeld per maand",$F117,IF(OR($D117="Per maand",$D117="Per week",$D117=""),$F117,IF($D117="Per jaar",IF(Dashboard!$N$2=$W117,$C117,0),IF($D117="Per half jaar",IF(MOD(Dashboard!$N$2-$W117,6)=0,$C117,0),IF($D117="Per kwartaal",IF(MOD(Dashboard!$N$2-$W117,3)=0,$C117,0),$F117))))))</f>
        <v/>
      </c>
      <c r="K117" s="107" t="str">
        <f aca="false">IF($C117="","",IF(Dashboard!$C$4="Gemiddeld per maand",$F117,IF(OR($D117="Per maand",$D117="Per week",$D117=""),$F117,IF($D117="Per jaar",IF(1=$W117,$C117,0),IF($D117="Per half jaar",IF(MOD(1-$W117,6)=0,$C117,0),IF($D117="Per kwartaal",IF(MOD(1-$W117,3)=0,$C117,0),$F117))))))</f>
        <v/>
      </c>
      <c r="L117" s="107" t="str">
        <f aca="false">IF($C117="","",IF(Dashboard!$C$4="Gemiddeld per maand",$F117,IF(OR($D117="Per maand",$D117="Per week",$D117=""),$F117,IF($D117="Per jaar",IF(2=$W117,$C117,0),IF($D117="Per half jaar",IF(MOD(2-$W117,6)=0,$C117,0),IF($D117="Per kwartaal",IF(MOD(2-$W117,3)=0,$C117,0),$F117))))))</f>
        <v/>
      </c>
      <c r="M117" s="107" t="str">
        <f aca="false">IF($C117="","",IF(Dashboard!$C$4="Gemiddeld per maand",$F117,IF(OR($D117="Per maand",$D117="Per week",$D117=""),$F117,IF($D117="Per jaar",IF(3=$W117,$C117,0),IF($D117="Per half jaar",IF(MOD(3-$W117,6)=0,$C117,0),IF($D117="Per kwartaal",IF(MOD(3-$W117,3)=0,$C117,0),$F117))))))</f>
        <v/>
      </c>
      <c r="N117" s="107" t="str">
        <f aca="false">IF($C117="","",IF(Dashboard!$C$4="Gemiddeld per maand",$F117,IF(OR($D117="Per maand",$D117="Per week",$D117=""),$F117,IF($D117="Per jaar",IF(4=$W117,$C117,0),IF($D117="Per half jaar",IF(MOD(4-$W117,6)=0,$C117,0),IF($D117="Per kwartaal",IF(MOD(4-$W117,3)=0,$C117,0),$F117))))))</f>
        <v/>
      </c>
      <c r="O117" s="107" t="str">
        <f aca="false">IF($C117="","",IF(Dashboard!$C$4="Gemiddeld per maand",$F117,IF(OR($D117="Per maand",$D117="Per week",$D117=""),$F117,IF($D117="Per jaar",IF(5=$W117,$C117,0),IF($D117="Per half jaar",IF(MOD(5-$W117,6)=0,$C117,0),IF($D117="Per kwartaal",IF(MOD(5-$W117,3)=0,$C117,0),$F117))))))</f>
        <v/>
      </c>
      <c r="P117" s="107" t="str">
        <f aca="false">IF($C117="","",IF(Dashboard!$C$4="Gemiddeld per maand",$F117,IF(OR($D117="Per maand",$D117="Per week",$D117=""),$F117,IF($D117="Per jaar",IF(6=$W117,$C117,0),IF($D117="Per half jaar",IF(MOD(6-$W117,6)=0,$C117,0),IF($D117="Per kwartaal",IF(MOD(6-$W117,3)=0,$C117,0),$F117))))))</f>
        <v/>
      </c>
      <c r="Q117" s="107" t="str">
        <f aca="false">IF($C117="","",IF(Dashboard!$C$4="Gemiddeld per maand",$F117,IF(OR($D117="Per maand",$D117="Per week",$D117=""),$F117,IF($D117="Per jaar",IF(7=$W117,$C117,0),IF($D117="Per half jaar",IF(MOD(7-$W117,6)=0,$C117,0),IF($D117="Per kwartaal",IF(MOD(7-$W117,3)=0,$C117,0),$F117))))))</f>
        <v/>
      </c>
      <c r="R117" s="107" t="str">
        <f aca="false">IF($C117="","",IF(Dashboard!$C$4="Gemiddeld per maand",$F117,IF(OR($D117="Per maand",$D117="Per week",$D117=""),$F117,IF($D117="Per jaar",IF(8=$W117,$C117,0),IF($D117="Per half jaar",IF(MOD(8-$W117,6)=0,$C117,0),IF($D117="Per kwartaal",IF(MOD(8-$W117,3)=0,$C117,0),$F117))))))</f>
        <v/>
      </c>
      <c r="S117" s="107" t="str">
        <f aca="false">IF($C117="","",IF(Dashboard!$C$4="Gemiddeld per maand",$F117,IF(OR($D117="Per maand",$D117="Per week",$D117=""),$F117,IF($D117="Per jaar",IF(9=$W117,$C117,0),IF($D117="Per half jaar",IF(MOD(9-$W117,6)=0,$C117,0),IF($D117="Per kwartaal",IF(MOD(9-$W117,3)=0,$C117,0),$F117))))))</f>
        <v/>
      </c>
      <c r="T117" s="107" t="str">
        <f aca="false">IF($C117="","",IF(Dashboard!$C$4="Gemiddeld per maand",$F117,IF(OR($D117="Per maand",$D117="Per week",$D117=""),$F117,IF($D117="Per jaar",IF(10=$W117,$C117,0),IF($D117="Per half jaar",IF(MOD(10-$W117,6)=0,$C117,0),IF($D117="Per kwartaal",IF(MOD(10-$W117,3)=0,$C117,0),$F117))))))</f>
        <v/>
      </c>
      <c r="U117" s="107" t="str">
        <f aca="false">IF($C117="","",IF(Dashboard!$C$4="Gemiddeld per maand",$F117,IF(OR($D117="Per maand",$D117="Per week",$D117=""),$F117,IF($D117="Per jaar",IF(11=$W117,$C117,0),IF($D117="Per half jaar",IF(MOD(11-$W117,6)=0,$C117,0),IF($D117="Per kwartaal",IF(MOD(11-$W117,3)=0,$C117,0),$F117))))))</f>
        <v/>
      </c>
      <c r="V117" s="107" t="str">
        <f aca="false">IF($C117="","",IF(Dashboard!$C$4="Gemiddeld per maand",$F117,IF(OR($D117="Per maand",$D117="Per week",$D117=""),$F117,IF($D117="Per jaar",IF(12=$W117,$C117,0),IF($D117="Per half jaar",IF(MOD(12-$W117,6)=0,$C117,0),IF($D117="Per kwartaal",IF(MOD(12-$W117,3)=0,$C117,0),$F117))))))</f>
        <v/>
      </c>
      <c r="W117" s="15" t="n">
        <f aca="false">IF($E117="",1,IFERROR(MATCH($E117,Lijsten!$K$6:$K$17,0),1))</f>
        <v>1</v>
      </c>
    </row>
    <row r="118" customFormat="false" ht="15" hidden="false" customHeight="false" outlineLevel="0" collapsed="false">
      <c r="A118" s="102"/>
      <c r="B118" s="102"/>
      <c r="C118" s="92"/>
      <c r="D118" s="102"/>
      <c r="E118" s="103"/>
      <c r="F118" s="104" t="str">
        <f aca="false">IF($C118="","",IF($D118="Per jaar",$C118/12,IF($D118="Per kwartaal",$C118/3,IF($D118="Per half jaar",$C118/6,IF($D118="Per week",$C118*52/12,$C118)))))</f>
        <v/>
      </c>
      <c r="G118" s="102"/>
      <c r="H118" s="103"/>
      <c r="I118" s="105"/>
      <c r="J118" s="106" t="str">
        <f aca="false">IF($C118="","",IF(Dashboard!$C$4="Gemiddeld per maand",$F118,IF(OR($D118="Per maand",$D118="Per week",$D118=""),$F118,IF($D118="Per jaar",IF(Dashboard!$N$2=$W118,$C118,0),IF($D118="Per half jaar",IF(MOD(Dashboard!$N$2-$W118,6)=0,$C118,0),IF($D118="Per kwartaal",IF(MOD(Dashboard!$N$2-$W118,3)=0,$C118,0),$F118))))))</f>
        <v/>
      </c>
      <c r="K118" s="107" t="str">
        <f aca="false">IF($C118="","",IF(Dashboard!$C$4="Gemiddeld per maand",$F118,IF(OR($D118="Per maand",$D118="Per week",$D118=""),$F118,IF($D118="Per jaar",IF(1=$W118,$C118,0),IF($D118="Per half jaar",IF(MOD(1-$W118,6)=0,$C118,0),IF($D118="Per kwartaal",IF(MOD(1-$W118,3)=0,$C118,0),$F118))))))</f>
        <v/>
      </c>
      <c r="L118" s="107" t="str">
        <f aca="false">IF($C118="","",IF(Dashboard!$C$4="Gemiddeld per maand",$F118,IF(OR($D118="Per maand",$D118="Per week",$D118=""),$F118,IF($D118="Per jaar",IF(2=$W118,$C118,0),IF($D118="Per half jaar",IF(MOD(2-$W118,6)=0,$C118,0),IF($D118="Per kwartaal",IF(MOD(2-$W118,3)=0,$C118,0),$F118))))))</f>
        <v/>
      </c>
      <c r="M118" s="107" t="str">
        <f aca="false">IF($C118="","",IF(Dashboard!$C$4="Gemiddeld per maand",$F118,IF(OR($D118="Per maand",$D118="Per week",$D118=""),$F118,IF($D118="Per jaar",IF(3=$W118,$C118,0),IF($D118="Per half jaar",IF(MOD(3-$W118,6)=0,$C118,0),IF($D118="Per kwartaal",IF(MOD(3-$W118,3)=0,$C118,0),$F118))))))</f>
        <v/>
      </c>
      <c r="N118" s="107" t="str">
        <f aca="false">IF($C118="","",IF(Dashboard!$C$4="Gemiddeld per maand",$F118,IF(OR($D118="Per maand",$D118="Per week",$D118=""),$F118,IF($D118="Per jaar",IF(4=$W118,$C118,0),IF($D118="Per half jaar",IF(MOD(4-$W118,6)=0,$C118,0),IF($D118="Per kwartaal",IF(MOD(4-$W118,3)=0,$C118,0),$F118))))))</f>
        <v/>
      </c>
      <c r="O118" s="107" t="str">
        <f aca="false">IF($C118="","",IF(Dashboard!$C$4="Gemiddeld per maand",$F118,IF(OR($D118="Per maand",$D118="Per week",$D118=""),$F118,IF($D118="Per jaar",IF(5=$W118,$C118,0),IF($D118="Per half jaar",IF(MOD(5-$W118,6)=0,$C118,0),IF($D118="Per kwartaal",IF(MOD(5-$W118,3)=0,$C118,0),$F118))))))</f>
        <v/>
      </c>
      <c r="P118" s="107" t="str">
        <f aca="false">IF($C118="","",IF(Dashboard!$C$4="Gemiddeld per maand",$F118,IF(OR($D118="Per maand",$D118="Per week",$D118=""),$F118,IF($D118="Per jaar",IF(6=$W118,$C118,0),IF($D118="Per half jaar",IF(MOD(6-$W118,6)=0,$C118,0),IF($D118="Per kwartaal",IF(MOD(6-$W118,3)=0,$C118,0),$F118))))))</f>
        <v/>
      </c>
      <c r="Q118" s="107" t="str">
        <f aca="false">IF($C118="","",IF(Dashboard!$C$4="Gemiddeld per maand",$F118,IF(OR($D118="Per maand",$D118="Per week",$D118=""),$F118,IF($D118="Per jaar",IF(7=$W118,$C118,0),IF($D118="Per half jaar",IF(MOD(7-$W118,6)=0,$C118,0),IF($D118="Per kwartaal",IF(MOD(7-$W118,3)=0,$C118,0),$F118))))))</f>
        <v/>
      </c>
      <c r="R118" s="107" t="str">
        <f aca="false">IF($C118="","",IF(Dashboard!$C$4="Gemiddeld per maand",$F118,IF(OR($D118="Per maand",$D118="Per week",$D118=""),$F118,IF($D118="Per jaar",IF(8=$W118,$C118,0),IF($D118="Per half jaar",IF(MOD(8-$W118,6)=0,$C118,0),IF($D118="Per kwartaal",IF(MOD(8-$W118,3)=0,$C118,0),$F118))))))</f>
        <v/>
      </c>
      <c r="S118" s="107" t="str">
        <f aca="false">IF($C118="","",IF(Dashboard!$C$4="Gemiddeld per maand",$F118,IF(OR($D118="Per maand",$D118="Per week",$D118=""),$F118,IF($D118="Per jaar",IF(9=$W118,$C118,0),IF($D118="Per half jaar",IF(MOD(9-$W118,6)=0,$C118,0),IF($D118="Per kwartaal",IF(MOD(9-$W118,3)=0,$C118,0),$F118))))))</f>
        <v/>
      </c>
      <c r="T118" s="107" t="str">
        <f aca="false">IF($C118="","",IF(Dashboard!$C$4="Gemiddeld per maand",$F118,IF(OR($D118="Per maand",$D118="Per week",$D118=""),$F118,IF($D118="Per jaar",IF(10=$W118,$C118,0),IF($D118="Per half jaar",IF(MOD(10-$W118,6)=0,$C118,0),IF($D118="Per kwartaal",IF(MOD(10-$W118,3)=0,$C118,0),$F118))))))</f>
        <v/>
      </c>
      <c r="U118" s="107" t="str">
        <f aca="false">IF($C118="","",IF(Dashboard!$C$4="Gemiddeld per maand",$F118,IF(OR($D118="Per maand",$D118="Per week",$D118=""),$F118,IF($D118="Per jaar",IF(11=$W118,$C118,0),IF($D118="Per half jaar",IF(MOD(11-$W118,6)=0,$C118,0),IF($D118="Per kwartaal",IF(MOD(11-$W118,3)=0,$C118,0),$F118))))))</f>
        <v/>
      </c>
      <c r="V118" s="107" t="str">
        <f aca="false">IF($C118="","",IF(Dashboard!$C$4="Gemiddeld per maand",$F118,IF(OR($D118="Per maand",$D118="Per week",$D118=""),$F118,IF($D118="Per jaar",IF(12=$W118,$C118,0),IF($D118="Per half jaar",IF(MOD(12-$W118,6)=0,$C118,0),IF($D118="Per kwartaal",IF(MOD(12-$W118,3)=0,$C118,0),$F118))))))</f>
        <v/>
      </c>
      <c r="W118" s="15" t="n">
        <f aca="false">IF($E118="",1,IFERROR(MATCH($E118,Lijsten!$K$6:$K$17,0),1))</f>
        <v>1</v>
      </c>
    </row>
    <row r="119" customFormat="false" ht="15" hidden="false" customHeight="false" outlineLevel="0" collapsed="false">
      <c r="A119" s="102"/>
      <c r="B119" s="102"/>
      <c r="C119" s="92"/>
      <c r="D119" s="102"/>
      <c r="E119" s="103"/>
      <c r="F119" s="104" t="str">
        <f aca="false">IF($C119="","",IF($D119="Per jaar",$C119/12,IF($D119="Per kwartaal",$C119/3,IF($D119="Per half jaar",$C119/6,IF($D119="Per week",$C119*52/12,$C119)))))</f>
        <v/>
      </c>
      <c r="G119" s="102"/>
      <c r="H119" s="103"/>
      <c r="I119" s="105"/>
      <c r="J119" s="106" t="str">
        <f aca="false">IF($C119="","",IF(Dashboard!$C$4="Gemiddeld per maand",$F119,IF(OR($D119="Per maand",$D119="Per week",$D119=""),$F119,IF($D119="Per jaar",IF(Dashboard!$N$2=$W119,$C119,0),IF($D119="Per half jaar",IF(MOD(Dashboard!$N$2-$W119,6)=0,$C119,0),IF($D119="Per kwartaal",IF(MOD(Dashboard!$N$2-$W119,3)=0,$C119,0),$F119))))))</f>
        <v/>
      </c>
      <c r="K119" s="107" t="str">
        <f aca="false">IF($C119="","",IF(Dashboard!$C$4="Gemiddeld per maand",$F119,IF(OR($D119="Per maand",$D119="Per week",$D119=""),$F119,IF($D119="Per jaar",IF(1=$W119,$C119,0),IF($D119="Per half jaar",IF(MOD(1-$W119,6)=0,$C119,0),IF($D119="Per kwartaal",IF(MOD(1-$W119,3)=0,$C119,0),$F119))))))</f>
        <v/>
      </c>
      <c r="L119" s="107" t="str">
        <f aca="false">IF($C119="","",IF(Dashboard!$C$4="Gemiddeld per maand",$F119,IF(OR($D119="Per maand",$D119="Per week",$D119=""),$F119,IF($D119="Per jaar",IF(2=$W119,$C119,0),IF($D119="Per half jaar",IF(MOD(2-$W119,6)=0,$C119,0),IF($D119="Per kwartaal",IF(MOD(2-$W119,3)=0,$C119,0),$F119))))))</f>
        <v/>
      </c>
      <c r="M119" s="107" t="str">
        <f aca="false">IF($C119="","",IF(Dashboard!$C$4="Gemiddeld per maand",$F119,IF(OR($D119="Per maand",$D119="Per week",$D119=""),$F119,IF($D119="Per jaar",IF(3=$W119,$C119,0),IF($D119="Per half jaar",IF(MOD(3-$W119,6)=0,$C119,0),IF($D119="Per kwartaal",IF(MOD(3-$W119,3)=0,$C119,0),$F119))))))</f>
        <v/>
      </c>
      <c r="N119" s="107" t="str">
        <f aca="false">IF($C119="","",IF(Dashboard!$C$4="Gemiddeld per maand",$F119,IF(OR($D119="Per maand",$D119="Per week",$D119=""),$F119,IF($D119="Per jaar",IF(4=$W119,$C119,0),IF($D119="Per half jaar",IF(MOD(4-$W119,6)=0,$C119,0),IF($D119="Per kwartaal",IF(MOD(4-$W119,3)=0,$C119,0),$F119))))))</f>
        <v/>
      </c>
      <c r="O119" s="107" t="str">
        <f aca="false">IF($C119="","",IF(Dashboard!$C$4="Gemiddeld per maand",$F119,IF(OR($D119="Per maand",$D119="Per week",$D119=""),$F119,IF($D119="Per jaar",IF(5=$W119,$C119,0),IF($D119="Per half jaar",IF(MOD(5-$W119,6)=0,$C119,0),IF($D119="Per kwartaal",IF(MOD(5-$W119,3)=0,$C119,0),$F119))))))</f>
        <v/>
      </c>
      <c r="P119" s="107" t="str">
        <f aca="false">IF($C119="","",IF(Dashboard!$C$4="Gemiddeld per maand",$F119,IF(OR($D119="Per maand",$D119="Per week",$D119=""),$F119,IF($D119="Per jaar",IF(6=$W119,$C119,0),IF($D119="Per half jaar",IF(MOD(6-$W119,6)=0,$C119,0),IF($D119="Per kwartaal",IF(MOD(6-$W119,3)=0,$C119,0),$F119))))))</f>
        <v/>
      </c>
      <c r="Q119" s="107" t="str">
        <f aca="false">IF($C119="","",IF(Dashboard!$C$4="Gemiddeld per maand",$F119,IF(OR($D119="Per maand",$D119="Per week",$D119=""),$F119,IF($D119="Per jaar",IF(7=$W119,$C119,0),IF($D119="Per half jaar",IF(MOD(7-$W119,6)=0,$C119,0),IF($D119="Per kwartaal",IF(MOD(7-$W119,3)=0,$C119,0),$F119))))))</f>
        <v/>
      </c>
      <c r="R119" s="107" t="str">
        <f aca="false">IF($C119="","",IF(Dashboard!$C$4="Gemiddeld per maand",$F119,IF(OR($D119="Per maand",$D119="Per week",$D119=""),$F119,IF($D119="Per jaar",IF(8=$W119,$C119,0),IF($D119="Per half jaar",IF(MOD(8-$W119,6)=0,$C119,0),IF($D119="Per kwartaal",IF(MOD(8-$W119,3)=0,$C119,0),$F119))))))</f>
        <v/>
      </c>
      <c r="S119" s="107" t="str">
        <f aca="false">IF($C119="","",IF(Dashboard!$C$4="Gemiddeld per maand",$F119,IF(OR($D119="Per maand",$D119="Per week",$D119=""),$F119,IF($D119="Per jaar",IF(9=$W119,$C119,0),IF($D119="Per half jaar",IF(MOD(9-$W119,6)=0,$C119,0),IF($D119="Per kwartaal",IF(MOD(9-$W119,3)=0,$C119,0),$F119))))))</f>
        <v/>
      </c>
      <c r="T119" s="107" t="str">
        <f aca="false">IF($C119="","",IF(Dashboard!$C$4="Gemiddeld per maand",$F119,IF(OR($D119="Per maand",$D119="Per week",$D119=""),$F119,IF($D119="Per jaar",IF(10=$W119,$C119,0),IF($D119="Per half jaar",IF(MOD(10-$W119,6)=0,$C119,0),IF($D119="Per kwartaal",IF(MOD(10-$W119,3)=0,$C119,0),$F119))))))</f>
        <v/>
      </c>
      <c r="U119" s="107" t="str">
        <f aca="false">IF($C119="","",IF(Dashboard!$C$4="Gemiddeld per maand",$F119,IF(OR($D119="Per maand",$D119="Per week",$D119=""),$F119,IF($D119="Per jaar",IF(11=$W119,$C119,0),IF($D119="Per half jaar",IF(MOD(11-$W119,6)=0,$C119,0),IF($D119="Per kwartaal",IF(MOD(11-$W119,3)=0,$C119,0),$F119))))))</f>
        <v/>
      </c>
      <c r="V119" s="107" t="str">
        <f aca="false">IF($C119="","",IF(Dashboard!$C$4="Gemiddeld per maand",$F119,IF(OR($D119="Per maand",$D119="Per week",$D119=""),$F119,IF($D119="Per jaar",IF(12=$W119,$C119,0),IF($D119="Per half jaar",IF(MOD(12-$W119,6)=0,$C119,0),IF($D119="Per kwartaal",IF(MOD(12-$W119,3)=0,$C119,0),$F119))))))</f>
        <v/>
      </c>
      <c r="W119" s="15" t="n">
        <f aca="false">IF($E119="",1,IFERROR(MATCH($E119,Lijsten!$K$6:$K$17,0),1))</f>
        <v>1</v>
      </c>
    </row>
    <row r="120" customFormat="false" ht="15" hidden="false" customHeight="false" outlineLevel="0" collapsed="false">
      <c r="A120" s="102"/>
      <c r="B120" s="102"/>
      <c r="C120" s="92"/>
      <c r="D120" s="102"/>
      <c r="E120" s="103"/>
      <c r="F120" s="104" t="str">
        <f aca="false">IF($C120="","",IF($D120="Per jaar",$C120/12,IF($D120="Per kwartaal",$C120/3,IF($D120="Per half jaar",$C120/6,IF($D120="Per week",$C120*52/12,$C120)))))</f>
        <v/>
      </c>
      <c r="G120" s="102"/>
      <c r="H120" s="103"/>
      <c r="I120" s="105"/>
      <c r="J120" s="106" t="str">
        <f aca="false">IF($C120="","",IF(Dashboard!$C$4="Gemiddeld per maand",$F120,IF(OR($D120="Per maand",$D120="Per week",$D120=""),$F120,IF($D120="Per jaar",IF(Dashboard!$N$2=$W120,$C120,0),IF($D120="Per half jaar",IF(MOD(Dashboard!$N$2-$W120,6)=0,$C120,0),IF($D120="Per kwartaal",IF(MOD(Dashboard!$N$2-$W120,3)=0,$C120,0),$F120))))))</f>
        <v/>
      </c>
      <c r="K120" s="107" t="str">
        <f aca="false">IF($C120="","",IF(Dashboard!$C$4="Gemiddeld per maand",$F120,IF(OR($D120="Per maand",$D120="Per week",$D120=""),$F120,IF($D120="Per jaar",IF(1=$W120,$C120,0),IF($D120="Per half jaar",IF(MOD(1-$W120,6)=0,$C120,0),IF($D120="Per kwartaal",IF(MOD(1-$W120,3)=0,$C120,0),$F120))))))</f>
        <v/>
      </c>
      <c r="L120" s="107" t="str">
        <f aca="false">IF($C120="","",IF(Dashboard!$C$4="Gemiddeld per maand",$F120,IF(OR($D120="Per maand",$D120="Per week",$D120=""),$F120,IF($D120="Per jaar",IF(2=$W120,$C120,0),IF($D120="Per half jaar",IF(MOD(2-$W120,6)=0,$C120,0),IF($D120="Per kwartaal",IF(MOD(2-$W120,3)=0,$C120,0),$F120))))))</f>
        <v/>
      </c>
      <c r="M120" s="107" t="str">
        <f aca="false">IF($C120="","",IF(Dashboard!$C$4="Gemiddeld per maand",$F120,IF(OR($D120="Per maand",$D120="Per week",$D120=""),$F120,IF($D120="Per jaar",IF(3=$W120,$C120,0),IF($D120="Per half jaar",IF(MOD(3-$W120,6)=0,$C120,0),IF($D120="Per kwartaal",IF(MOD(3-$W120,3)=0,$C120,0),$F120))))))</f>
        <v/>
      </c>
      <c r="N120" s="107" t="str">
        <f aca="false">IF($C120="","",IF(Dashboard!$C$4="Gemiddeld per maand",$F120,IF(OR($D120="Per maand",$D120="Per week",$D120=""),$F120,IF($D120="Per jaar",IF(4=$W120,$C120,0),IF($D120="Per half jaar",IF(MOD(4-$W120,6)=0,$C120,0),IF($D120="Per kwartaal",IF(MOD(4-$W120,3)=0,$C120,0),$F120))))))</f>
        <v/>
      </c>
      <c r="O120" s="107" t="str">
        <f aca="false">IF($C120="","",IF(Dashboard!$C$4="Gemiddeld per maand",$F120,IF(OR($D120="Per maand",$D120="Per week",$D120=""),$F120,IF($D120="Per jaar",IF(5=$W120,$C120,0),IF($D120="Per half jaar",IF(MOD(5-$W120,6)=0,$C120,0),IF($D120="Per kwartaal",IF(MOD(5-$W120,3)=0,$C120,0),$F120))))))</f>
        <v/>
      </c>
      <c r="P120" s="107" t="str">
        <f aca="false">IF($C120="","",IF(Dashboard!$C$4="Gemiddeld per maand",$F120,IF(OR($D120="Per maand",$D120="Per week",$D120=""),$F120,IF($D120="Per jaar",IF(6=$W120,$C120,0),IF($D120="Per half jaar",IF(MOD(6-$W120,6)=0,$C120,0),IF($D120="Per kwartaal",IF(MOD(6-$W120,3)=0,$C120,0),$F120))))))</f>
        <v/>
      </c>
      <c r="Q120" s="107" t="str">
        <f aca="false">IF($C120="","",IF(Dashboard!$C$4="Gemiddeld per maand",$F120,IF(OR($D120="Per maand",$D120="Per week",$D120=""),$F120,IF($D120="Per jaar",IF(7=$W120,$C120,0),IF($D120="Per half jaar",IF(MOD(7-$W120,6)=0,$C120,0),IF($D120="Per kwartaal",IF(MOD(7-$W120,3)=0,$C120,0),$F120))))))</f>
        <v/>
      </c>
      <c r="R120" s="107" t="str">
        <f aca="false">IF($C120="","",IF(Dashboard!$C$4="Gemiddeld per maand",$F120,IF(OR($D120="Per maand",$D120="Per week",$D120=""),$F120,IF($D120="Per jaar",IF(8=$W120,$C120,0),IF($D120="Per half jaar",IF(MOD(8-$W120,6)=0,$C120,0),IF($D120="Per kwartaal",IF(MOD(8-$W120,3)=0,$C120,0),$F120))))))</f>
        <v/>
      </c>
      <c r="S120" s="107" t="str">
        <f aca="false">IF($C120="","",IF(Dashboard!$C$4="Gemiddeld per maand",$F120,IF(OR($D120="Per maand",$D120="Per week",$D120=""),$F120,IF($D120="Per jaar",IF(9=$W120,$C120,0),IF($D120="Per half jaar",IF(MOD(9-$W120,6)=0,$C120,0),IF($D120="Per kwartaal",IF(MOD(9-$W120,3)=0,$C120,0),$F120))))))</f>
        <v/>
      </c>
      <c r="T120" s="107" t="str">
        <f aca="false">IF($C120="","",IF(Dashboard!$C$4="Gemiddeld per maand",$F120,IF(OR($D120="Per maand",$D120="Per week",$D120=""),$F120,IF($D120="Per jaar",IF(10=$W120,$C120,0),IF($D120="Per half jaar",IF(MOD(10-$W120,6)=0,$C120,0),IF($D120="Per kwartaal",IF(MOD(10-$W120,3)=0,$C120,0),$F120))))))</f>
        <v/>
      </c>
      <c r="U120" s="107" t="str">
        <f aca="false">IF($C120="","",IF(Dashboard!$C$4="Gemiddeld per maand",$F120,IF(OR($D120="Per maand",$D120="Per week",$D120=""),$F120,IF($D120="Per jaar",IF(11=$W120,$C120,0),IF($D120="Per half jaar",IF(MOD(11-$W120,6)=0,$C120,0),IF($D120="Per kwartaal",IF(MOD(11-$W120,3)=0,$C120,0),$F120))))))</f>
        <v/>
      </c>
      <c r="V120" s="107" t="str">
        <f aca="false">IF($C120="","",IF(Dashboard!$C$4="Gemiddeld per maand",$F120,IF(OR($D120="Per maand",$D120="Per week",$D120=""),$F120,IF($D120="Per jaar",IF(12=$W120,$C120,0),IF($D120="Per half jaar",IF(MOD(12-$W120,6)=0,$C120,0),IF($D120="Per kwartaal",IF(MOD(12-$W120,3)=0,$C120,0),$F120))))))</f>
        <v/>
      </c>
      <c r="W120" s="15" t="n">
        <f aca="false">IF($E120="",1,IFERROR(MATCH($E120,Lijsten!$K$6:$K$17,0),1))</f>
        <v>1</v>
      </c>
    </row>
    <row r="121" customFormat="false" ht="15" hidden="false" customHeight="false" outlineLevel="0" collapsed="false">
      <c r="A121" s="102"/>
      <c r="B121" s="102"/>
      <c r="C121" s="92"/>
      <c r="D121" s="102"/>
      <c r="E121" s="103"/>
      <c r="F121" s="104" t="str">
        <f aca="false">IF($C121="","",IF($D121="Per jaar",$C121/12,IF($D121="Per kwartaal",$C121/3,IF($D121="Per half jaar",$C121/6,IF($D121="Per week",$C121*52/12,$C121)))))</f>
        <v/>
      </c>
      <c r="G121" s="102"/>
      <c r="H121" s="103"/>
      <c r="I121" s="105"/>
      <c r="J121" s="106" t="str">
        <f aca="false">IF($C121="","",IF(Dashboard!$C$4="Gemiddeld per maand",$F121,IF(OR($D121="Per maand",$D121="Per week",$D121=""),$F121,IF($D121="Per jaar",IF(Dashboard!$N$2=$W121,$C121,0),IF($D121="Per half jaar",IF(MOD(Dashboard!$N$2-$W121,6)=0,$C121,0),IF($D121="Per kwartaal",IF(MOD(Dashboard!$N$2-$W121,3)=0,$C121,0),$F121))))))</f>
        <v/>
      </c>
      <c r="K121" s="107" t="str">
        <f aca="false">IF($C121="","",IF(Dashboard!$C$4="Gemiddeld per maand",$F121,IF(OR($D121="Per maand",$D121="Per week",$D121=""),$F121,IF($D121="Per jaar",IF(1=$W121,$C121,0),IF($D121="Per half jaar",IF(MOD(1-$W121,6)=0,$C121,0),IF($D121="Per kwartaal",IF(MOD(1-$W121,3)=0,$C121,0),$F121))))))</f>
        <v/>
      </c>
      <c r="L121" s="107" t="str">
        <f aca="false">IF($C121="","",IF(Dashboard!$C$4="Gemiddeld per maand",$F121,IF(OR($D121="Per maand",$D121="Per week",$D121=""),$F121,IF($D121="Per jaar",IF(2=$W121,$C121,0),IF($D121="Per half jaar",IF(MOD(2-$W121,6)=0,$C121,0),IF($D121="Per kwartaal",IF(MOD(2-$W121,3)=0,$C121,0),$F121))))))</f>
        <v/>
      </c>
      <c r="M121" s="107" t="str">
        <f aca="false">IF($C121="","",IF(Dashboard!$C$4="Gemiddeld per maand",$F121,IF(OR($D121="Per maand",$D121="Per week",$D121=""),$F121,IF($D121="Per jaar",IF(3=$W121,$C121,0),IF($D121="Per half jaar",IF(MOD(3-$W121,6)=0,$C121,0),IF($D121="Per kwartaal",IF(MOD(3-$W121,3)=0,$C121,0),$F121))))))</f>
        <v/>
      </c>
      <c r="N121" s="107" t="str">
        <f aca="false">IF($C121="","",IF(Dashboard!$C$4="Gemiddeld per maand",$F121,IF(OR($D121="Per maand",$D121="Per week",$D121=""),$F121,IF($D121="Per jaar",IF(4=$W121,$C121,0),IF($D121="Per half jaar",IF(MOD(4-$W121,6)=0,$C121,0),IF($D121="Per kwartaal",IF(MOD(4-$W121,3)=0,$C121,0),$F121))))))</f>
        <v/>
      </c>
      <c r="O121" s="107" t="str">
        <f aca="false">IF($C121="","",IF(Dashboard!$C$4="Gemiddeld per maand",$F121,IF(OR($D121="Per maand",$D121="Per week",$D121=""),$F121,IF($D121="Per jaar",IF(5=$W121,$C121,0),IF($D121="Per half jaar",IF(MOD(5-$W121,6)=0,$C121,0),IF($D121="Per kwartaal",IF(MOD(5-$W121,3)=0,$C121,0),$F121))))))</f>
        <v/>
      </c>
      <c r="P121" s="107" t="str">
        <f aca="false">IF($C121="","",IF(Dashboard!$C$4="Gemiddeld per maand",$F121,IF(OR($D121="Per maand",$D121="Per week",$D121=""),$F121,IF($D121="Per jaar",IF(6=$W121,$C121,0),IF($D121="Per half jaar",IF(MOD(6-$W121,6)=0,$C121,0),IF($D121="Per kwartaal",IF(MOD(6-$W121,3)=0,$C121,0),$F121))))))</f>
        <v/>
      </c>
      <c r="Q121" s="107" t="str">
        <f aca="false">IF($C121="","",IF(Dashboard!$C$4="Gemiddeld per maand",$F121,IF(OR($D121="Per maand",$D121="Per week",$D121=""),$F121,IF($D121="Per jaar",IF(7=$W121,$C121,0),IF($D121="Per half jaar",IF(MOD(7-$W121,6)=0,$C121,0),IF($D121="Per kwartaal",IF(MOD(7-$W121,3)=0,$C121,0),$F121))))))</f>
        <v/>
      </c>
      <c r="R121" s="107" t="str">
        <f aca="false">IF($C121="","",IF(Dashboard!$C$4="Gemiddeld per maand",$F121,IF(OR($D121="Per maand",$D121="Per week",$D121=""),$F121,IF($D121="Per jaar",IF(8=$W121,$C121,0),IF($D121="Per half jaar",IF(MOD(8-$W121,6)=0,$C121,0),IF($D121="Per kwartaal",IF(MOD(8-$W121,3)=0,$C121,0),$F121))))))</f>
        <v/>
      </c>
      <c r="S121" s="107" t="str">
        <f aca="false">IF($C121="","",IF(Dashboard!$C$4="Gemiddeld per maand",$F121,IF(OR($D121="Per maand",$D121="Per week",$D121=""),$F121,IF($D121="Per jaar",IF(9=$W121,$C121,0),IF($D121="Per half jaar",IF(MOD(9-$W121,6)=0,$C121,0),IF($D121="Per kwartaal",IF(MOD(9-$W121,3)=0,$C121,0),$F121))))))</f>
        <v/>
      </c>
      <c r="T121" s="107" t="str">
        <f aca="false">IF($C121="","",IF(Dashboard!$C$4="Gemiddeld per maand",$F121,IF(OR($D121="Per maand",$D121="Per week",$D121=""),$F121,IF($D121="Per jaar",IF(10=$W121,$C121,0),IF($D121="Per half jaar",IF(MOD(10-$W121,6)=0,$C121,0),IF($D121="Per kwartaal",IF(MOD(10-$W121,3)=0,$C121,0),$F121))))))</f>
        <v/>
      </c>
      <c r="U121" s="107" t="str">
        <f aca="false">IF($C121="","",IF(Dashboard!$C$4="Gemiddeld per maand",$F121,IF(OR($D121="Per maand",$D121="Per week",$D121=""),$F121,IF($D121="Per jaar",IF(11=$W121,$C121,0),IF($D121="Per half jaar",IF(MOD(11-$W121,6)=0,$C121,0),IF($D121="Per kwartaal",IF(MOD(11-$W121,3)=0,$C121,0),$F121))))))</f>
        <v/>
      </c>
      <c r="V121" s="107" t="str">
        <f aca="false">IF($C121="","",IF(Dashboard!$C$4="Gemiddeld per maand",$F121,IF(OR($D121="Per maand",$D121="Per week",$D121=""),$F121,IF($D121="Per jaar",IF(12=$W121,$C121,0),IF($D121="Per half jaar",IF(MOD(12-$W121,6)=0,$C121,0),IF($D121="Per kwartaal",IF(MOD(12-$W121,3)=0,$C121,0),$F121))))))</f>
        <v/>
      </c>
      <c r="W121" s="15" t="n">
        <f aca="false">IF($E121="",1,IFERROR(MATCH($E121,Lijsten!$K$6:$K$17,0),1))</f>
        <v>1</v>
      </c>
    </row>
    <row r="122" customFormat="false" ht="15" hidden="false" customHeight="false" outlineLevel="0" collapsed="false">
      <c r="A122" s="102"/>
      <c r="B122" s="102"/>
      <c r="C122" s="92"/>
      <c r="D122" s="102"/>
      <c r="E122" s="103"/>
      <c r="F122" s="104" t="str">
        <f aca="false">IF($C122="","",IF($D122="Per jaar",$C122/12,IF($D122="Per kwartaal",$C122/3,IF($D122="Per half jaar",$C122/6,IF($D122="Per week",$C122*52/12,$C122)))))</f>
        <v/>
      </c>
      <c r="G122" s="102"/>
      <c r="H122" s="103"/>
      <c r="I122" s="105"/>
      <c r="J122" s="106" t="str">
        <f aca="false">IF($C122="","",IF(Dashboard!$C$4="Gemiddeld per maand",$F122,IF(OR($D122="Per maand",$D122="Per week",$D122=""),$F122,IF($D122="Per jaar",IF(Dashboard!$N$2=$W122,$C122,0),IF($D122="Per half jaar",IF(MOD(Dashboard!$N$2-$W122,6)=0,$C122,0),IF($D122="Per kwartaal",IF(MOD(Dashboard!$N$2-$W122,3)=0,$C122,0),$F122))))))</f>
        <v/>
      </c>
      <c r="K122" s="107" t="str">
        <f aca="false">IF($C122="","",IF(Dashboard!$C$4="Gemiddeld per maand",$F122,IF(OR($D122="Per maand",$D122="Per week",$D122=""),$F122,IF($D122="Per jaar",IF(1=$W122,$C122,0),IF($D122="Per half jaar",IF(MOD(1-$W122,6)=0,$C122,0),IF($D122="Per kwartaal",IF(MOD(1-$W122,3)=0,$C122,0),$F122))))))</f>
        <v/>
      </c>
      <c r="L122" s="107" t="str">
        <f aca="false">IF($C122="","",IF(Dashboard!$C$4="Gemiddeld per maand",$F122,IF(OR($D122="Per maand",$D122="Per week",$D122=""),$F122,IF($D122="Per jaar",IF(2=$W122,$C122,0),IF($D122="Per half jaar",IF(MOD(2-$W122,6)=0,$C122,0),IF($D122="Per kwartaal",IF(MOD(2-$W122,3)=0,$C122,0),$F122))))))</f>
        <v/>
      </c>
      <c r="M122" s="107" t="str">
        <f aca="false">IF($C122="","",IF(Dashboard!$C$4="Gemiddeld per maand",$F122,IF(OR($D122="Per maand",$D122="Per week",$D122=""),$F122,IF($D122="Per jaar",IF(3=$W122,$C122,0),IF($D122="Per half jaar",IF(MOD(3-$W122,6)=0,$C122,0),IF($D122="Per kwartaal",IF(MOD(3-$W122,3)=0,$C122,0),$F122))))))</f>
        <v/>
      </c>
      <c r="N122" s="107" t="str">
        <f aca="false">IF($C122="","",IF(Dashboard!$C$4="Gemiddeld per maand",$F122,IF(OR($D122="Per maand",$D122="Per week",$D122=""),$F122,IF($D122="Per jaar",IF(4=$W122,$C122,0),IF($D122="Per half jaar",IF(MOD(4-$W122,6)=0,$C122,0),IF($D122="Per kwartaal",IF(MOD(4-$W122,3)=0,$C122,0),$F122))))))</f>
        <v/>
      </c>
      <c r="O122" s="107" t="str">
        <f aca="false">IF($C122="","",IF(Dashboard!$C$4="Gemiddeld per maand",$F122,IF(OR($D122="Per maand",$D122="Per week",$D122=""),$F122,IF($D122="Per jaar",IF(5=$W122,$C122,0),IF($D122="Per half jaar",IF(MOD(5-$W122,6)=0,$C122,0),IF($D122="Per kwartaal",IF(MOD(5-$W122,3)=0,$C122,0),$F122))))))</f>
        <v/>
      </c>
      <c r="P122" s="107" t="str">
        <f aca="false">IF($C122="","",IF(Dashboard!$C$4="Gemiddeld per maand",$F122,IF(OR($D122="Per maand",$D122="Per week",$D122=""),$F122,IF($D122="Per jaar",IF(6=$W122,$C122,0),IF($D122="Per half jaar",IF(MOD(6-$W122,6)=0,$C122,0),IF($D122="Per kwartaal",IF(MOD(6-$W122,3)=0,$C122,0),$F122))))))</f>
        <v/>
      </c>
      <c r="Q122" s="107" t="str">
        <f aca="false">IF($C122="","",IF(Dashboard!$C$4="Gemiddeld per maand",$F122,IF(OR($D122="Per maand",$D122="Per week",$D122=""),$F122,IF($D122="Per jaar",IF(7=$W122,$C122,0),IF($D122="Per half jaar",IF(MOD(7-$W122,6)=0,$C122,0),IF($D122="Per kwartaal",IF(MOD(7-$W122,3)=0,$C122,0),$F122))))))</f>
        <v/>
      </c>
      <c r="R122" s="107" t="str">
        <f aca="false">IF($C122="","",IF(Dashboard!$C$4="Gemiddeld per maand",$F122,IF(OR($D122="Per maand",$D122="Per week",$D122=""),$F122,IF($D122="Per jaar",IF(8=$W122,$C122,0),IF($D122="Per half jaar",IF(MOD(8-$W122,6)=0,$C122,0),IF($D122="Per kwartaal",IF(MOD(8-$W122,3)=0,$C122,0),$F122))))))</f>
        <v/>
      </c>
      <c r="S122" s="107" t="str">
        <f aca="false">IF($C122="","",IF(Dashboard!$C$4="Gemiddeld per maand",$F122,IF(OR($D122="Per maand",$D122="Per week",$D122=""),$F122,IF($D122="Per jaar",IF(9=$W122,$C122,0),IF($D122="Per half jaar",IF(MOD(9-$W122,6)=0,$C122,0),IF($D122="Per kwartaal",IF(MOD(9-$W122,3)=0,$C122,0),$F122))))))</f>
        <v/>
      </c>
      <c r="T122" s="107" t="str">
        <f aca="false">IF($C122="","",IF(Dashboard!$C$4="Gemiddeld per maand",$F122,IF(OR($D122="Per maand",$D122="Per week",$D122=""),$F122,IF($D122="Per jaar",IF(10=$W122,$C122,0),IF($D122="Per half jaar",IF(MOD(10-$W122,6)=0,$C122,0),IF($D122="Per kwartaal",IF(MOD(10-$W122,3)=0,$C122,0),$F122))))))</f>
        <v/>
      </c>
      <c r="U122" s="107" t="str">
        <f aca="false">IF($C122="","",IF(Dashboard!$C$4="Gemiddeld per maand",$F122,IF(OR($D122="Per maand",$D122="Per week",$D122=""),$F122,IF($D122="Per jaar",IF(11=$W122,$C122,0),IF($D122="Per half jaar",IF(MOD(11-$W122,6)=0,$C122,0),IF($D122="Per kwartaal",IF(MOD(11-$W122,3)=0,$C122,0),$F122))))))</f>
        <v/>
      </c>
      <c r="V122" s="107" t="str">
        <f aca="false">IF($C122="","",IF(Dashboard!$C$4="Gemiddeld per maand",$F122,IF(OR($D122="Per maand",$D122="Per week",$D122=""),$F122,IF($D122="Per jaar",IF(12=$W122,$C122,0),IF($D122="Per half jaar",IF(MOD(12-$W122,6)=0,$C122,0),IF($D122="Per kwartaal",IF(MOD(12-$W122,3)=0,$C122,0),$F122))))))</f>
        <v/>
      </c>
      <c r="W122" s="15" t="n">
        <f aca="false">IF($E122="",1,IFERROR(MATCH($E122,Lijsten!$K$6:$K$17,0),1))</f>
        <v>1</v>
      </c>
    </row>
    <row r="123" customFormat="false" ht="15" hidden="false" customHeight="false" outlineLevel="0" collapsed="false">
      <c r="A123" s="102"/>
      <c r="B123" s="102"/>
      <c r="C123" s="92"/>
      <c r="D123" s="102"/>
      <c r="E123" s="103"/>
      <c r="F123" s="104" t="str">
        <f aca="false">IF($C123="","",IF($D123="Per jaar",$C123/12,IF($D123="Per kwartaal",$C123/3,IF($D123="Per half jaar",$C123/6,IF($D123="Per week",$C123*52/12,$C123)))))</f>
        <v/>
      </c>
      <c r="G123" s="102"/>
      <c r="H123" s="103"/>
      <c r="I123" s="105"/>
      <c r="J123" s="106" t="str">
        <f aca="false">IF($C123="","",IF(Dashboard!$C$4="Gemiddeld per maand",$F123,IF(OR($D123="Per maand",$D123="Per week",$D123=""),$F123,IF($D123="Per jaar",IF(Dashboard!$N$2=$W123,$C123,0),IF($D123="Per half jaar",IF(MOD(Dashboard!$N$2-$W123,6)=0,$C123,0),IF($D123="Per kwartaal",IF(MOD(Dashboard!$N$2-$W123,3)=0,$C123,0),$F123))))))</f>
        <v/>
      </c>
      <c r="K123" s="107" t="str">
        <f aca="false">IF($C123="","",IF(Dashboard!$C$4="Gemiddeld per maand",$F123,IF(OR($D123="Per maand",$D123="Per week",$D123=""),$F123,IF($D123="Per jaar",IF(1=$W123,$C123,0),IF($D123="Per half jaar",IF(MOD(1-$W123,6)=0,$C123,0),IF($D123="Per kwartaal",IF(MOD(1-$W123,3)=0,$C123,0),$F123))))))</f>
        <v/>
      </c>
      <c r="L123" s="107" t="str">
        <f aca="false">IF($C123="","",IF(Dashboard!$C$4="Gemiddeld per maand",$F123,IF(OR($D123="Per maand",$D123="Per week",$D123=""),$F123,IF($D123="Per jaar",IF(2=$W123,$C123,0),IF($D123="Per half jaar",IF(MOD(2-$W123,6)=0,$C123,0),IF($D123="Per kwartaal",IF(MOD(2-$W123,3)=0,$C123,0),$F123))))))</f>
        <v/>
      </c>
      <c r="M123" s="107" t="str">
        <f aca="false">IF($C123="","",IF(Dashboard!$C$4="Gemiddeld per maand",$F123,IF(OR($D123="Per maand",$D123="Per week",$D123=""),$F123,IF($D123="Per jaar",IF(3=$W123,$C123,0),IF($D123="Per half jaar",IF(MOD(3-$W123,6)=0,$C123,0),IF($D123="Per kwartaal",IF(MOD(3-$W123,3)=0,$C123,0),$F123))))))</f>
        <v/>
      </c>
      <c r="N123" s="107" t="str">
        <f aca="false">IF($C123="","",IF(Dashboard!$C$4="Gemiddeld per maand",$F123,IF(OR($D123="Per maand",$D123="Per week",$D123=""),$F123,IF($D123="Per jaar",IF(4=$W123,$C123,0),IF($D123="Per half jaar",IF(MOD(4-$W123,6)=0,$C123,0),IF($D123="Per kwartaal",IF(MOD(4-$W123,3)=0,$C123,0),$F123))))))</f>
        <v/>
      </c>
      <c r="O123" s="107" t="str">
        <f aca="false">IF($C123="","",IF(Dashboard!$C$4="Gemiddeld per maand",$F123,IF(OR($D123="Per maand",$D123="Per week",$D123=""),$F123,IF($D123="Per jaar",IF(5=$W123,$C123,0),IF($D123="Per half jaar",IF(MOD(5-$W123,6)=0,$C123,0),IF($D123="Per kwartaal",IF(MOD(5-$W123,3)=0,$C123,0),$F123))))))</f>
        <v/>
      </c>
      <c r="P123" s="107" t="str">
        <f aca="false">IF($C123="","",IF(Dashboard!$C$4="Gemiddeld per maand",$F123,IF(OR($D123="Per maand",$D123="Per week",$D123=""),$F123,IF($D123="Per jaar",IF(6=$W123,$C123,0),IF($D123="Per half jaar",IF(MOD(6-$W123,6)=0,$C123,0),IF($D123="Per kwartaal",IF(MOD(6-$W123,3)=0,$C123,0),$F123))))))</f>
        <v/>
      </c>
      <c r="Q123" s="107" t="str">
        <f aca="false">IF($C123="","",IF(Dashboard!$C$4="Gemiddeld per maand",$F123,IF(OR($D123="Per maand",$D123="Per week",$D123=""),$F123,IF($D123="Per jaar",IF(7=$W123,$C123,0),IF($D123="Per half jaar",IF(MOD(7-$W123,6)=0,$C123,0),IF($D123="Per kwartaal",IF(MOD(7-$W123,3)=0,$C123,0),$F123))))))</f>
        <v/>
      </c>
      <c r="R123" s="107" t="str">
        <f aca="false">IF($C123="","",IF(Dashboard!$C$4="Gemiddeld per maand",$F123,IF(OR($D123="Per maand",$D123="Per week",$D123=""),$F123,IF($D123="Per jaar",IF(8=$W123,$C123,0),IF($D123="Per half jaar",IF(MOD(8-$W123,6)=0,$C123,0),IF($D123="Per kwartaal",IF(MOD(8-$W123,3)=0,$C123,0),$F123))))))</f>
        <v/>
      </c>
      <c r="S123" s="107" t="str">
        <f aca="false">IF($C123="","",IF(Dashboard!$C$4="Gemiddeld per maand",$F123,IF(OR($D123="Per maand",$D123="Per week",$D123=""),$F123,IF($D123="Per jaar",IF(9=$W123,$C123,0),IF($D123="Per half jaar",IF(MOD(9-$W123,6)=0,$C123,0),IF($D123="Per kwartaal",IF(MOD(9-$W123,3)=0,$C123,0),$F123))))))</f>
        <v/>
      </c>
      <c r="T123" s="107" t="str">
        <f aca="false">IF($C123="","",IF(Dashboard!$C$4="Gemiddeld per maand",$F123,IF(OR($D123="Per maand",$D123="Per week",$D123=""),$F123,IF($D123="Per jaar",IF(10=$W123,$C123,0),IF($D123="Per half jaar",IF(MOD(10-$W123,6)=0,$C123,0),IF($D123="Per kwartaal",IF(MOD(10-$W123,3)=0,$C123,0),$F123))))))</f>
        <v/>
      </c>
      <c r="U123" s="107" t="str">
        <f aca="false">IF($C123="","",IF(Dashboard!$C$4="Gemiddeld per maand",$F123,IF(OR($D123="Per maand",$D123="Per week",$D123=""),$F123,IF($D123="Per jaar",IF(11=$W123,$C123,0),IF($D123="Per half jaar",IF(MOD(11-$W123,6)=0,$C123,0),IF($D123="Per kwartaal",IF(MOD(11-$W123,3)=0,$C123,0),$F123))))))</f>
        <v/>
      </c>
      <c r="V123" s="107" t="str">
        <f aca="false">IF($C123="","",IF(Dashboard!$C$4="Gemiddeld per maand",$F123,IF(OR($D123="Per maand",$D123="Per week",$D123=""),$F123,IF($D123="Per jaar",IF(12=$W123,$C123,0),IF($D123="Per half jaar",IF(MOD(12-$W123,6)=0,$C123,0),IF($D123="Per kwartaal",IF(MOD(12-$W123,3)=0,$C123,0),$F123))))))</f>
        <v/>
      </c>
      <c r="W123" s="15" t="n">
        <f aca="false">IF($E123="",1,IFERROR(MATCH($E123,Lijsten!$K$6:$K$17,0),1))</f>
        <v>1</v>
      </c>
    </row>
    <row r="124" customFormat="false" ht="15" hidden="false" customHeight="false" outlineLevel="0" collapsed="false">
      <c r="A124" s="102"/>
      <c r="B124" s="102"/>
      <c r="C124" s="92"/>
      <c r="D124" s="102"/>
      <c r="E124" s="103"/>
      <c r="F124" s="104" t="str">
        <f aca="false">IF($C124="","",IF($D124="Per jaar",$C124/12,IF($D124="Per kwartaal",$C124/3,IF($D124="Per half jaar",$C124/6,IF($D124="Per week",$C124*52/12,$C124)))))</f>
        <v/>
      </c>
      <c r="G124" s="102"/>
      <c r="H124" s="103"/>
      <c r="I124" s="105"/>
      <c r="J124" s="106" t="str">
        <f aca="false">IF($C124="","",IF(Dashboard!$C$4="Gemiddeld per maand",$F124,IF(OR($D124="Per maand",$D124="Per week",$D124=""),$F124,IF($D124="Per jaar",IF(Dashboard!$N$2=$W124,$C124,0),IF($D124="Per half jaar",IF(MOD(Dashboard!$N$2-$W124,6)=0,$C124,0),IF($D124="Per kwartaal",IF(MOD(Dashboard!$N$2-$W124,3)=0,$C124,0),$F124))))))</f>
        <v/>
      </c>
      <c r="K124" s="107" t="str">
        <f aca="false">IF($C124="","",IF(Dashboard!$C$4="Gemiddeld per maand",$F124,IF(OR($D124="Per maand",$D124="Per week",$D124=""),$F124,IF($D124="Per jaar",IF(1=$W124,$C124,0),IF($D124="Per half jaar",IF(MOD(1-$W124,6)=0,$C124,0),IF($D124="Per kwartaal",IF(MOD(1-$W124,3)=0,$C124,0),$F124))))))</f>
        <v/>
      </c>
      <c r="L124" s="107" t="str">
        <f aca="false">IF($C124="","",IF(Dashboard!$C$4="Gemiddeld per maand",$F124,IF(OR($D124="Per maand",$D124="Per week",$D124=""),$F124,IF($D124="Per jaar",IF(2=$W124,$C124,0),IF($D124="Per half jaar",IF(MOD(2-$W124,6)=0,$C124,0),IF($D124="Per kwartaal",IF(MOD(2-$W124,3)=0,$C124,0),$F124))))))</f>
        <v/>
      </c>
      <c r="M124" s="107" t="str">
        <f aca="false">IF($C124="","",IF(Dashboard!$C$4="Gemiddeld per maand",$F124,IF(OR($D124="Per maand",$D124="Per week",$D124=""),$F124,IF($D124="Per jaar",IF(3=$W124,$C124,0),IF($D124="Per half jaar",IF(MOD(3-$W124,6)=0,$C124,0),IF($D124="Per kwartaal",IF(MOD(3-$W124,3)=0,$C124,0),$F124))))))</f>
        <v/>
      </c>
      <c r="N124" s="107" t="str">
        <f aca="false">IF($C124="","",IF(Dashboard!$C$4="Gemiddeld per maand",$F124,IF(OR($D124="Per maand",$D124="Per week",$D124=""),$F124,IF($D124="Per jaar",IF(4=$W124,$C124,0),IF($D124="Per half jaar",IF(MOD(4-$W124,6)=0,$C124,0),IF($D124="Per kwartaal",IF(MOD(4-$W124,3)=0,$C124,0),$F124))))))</f>
        <v/>
      </c>
      <c r="O124" s="107" t="str">
        <f aca="false">IF($C124="","",IF(Dashboard!$C$4="Gemiddeld per maand",$F124,IF(OR($D124="Per maand",$D124="Per week",$D124=""),$F124,IF($D124="Per jaar",IF(5=$W124,$C124,0),IF($D124="Per half jaar",IF(MOD(5-$W124,6)=0,$C124,0),IF($D124="Per kwartaal",IF(MOD(5-$W124,3)=0,$C124,0),$F124))))))</f>
        <v/>
      </c>
      <c r="P124" s="107" t="str">
        <f aca="false">IF($C124="","",IF(Dashboard!$C$4="Gemiddeld per maand",$F124,IF(OR($D124="Per maand",$D124="Per week",$D124=""),$F124,IF($D124="Per jaar",IF(6=$W124,$C124,0),IF($D124="Per half jaar",IF(MOD(6-$W124,6)=0,$C124,0),IF($D124="Per kwartaal",IF(MOD(6-$W124,3)=0,$C124,0),$F124))))))</f>
        <v/>
      </c>
      <c r="Q124" s="107" t="str">
        <f aca="false">IF($C124="","",IF(Dashboard!$C$4="Gemiddeld per maand",$F124,IF(OR($D124="Per maand",$D124="Per week",$D124=""),$F124,IF($D124="Per jaar",IF(7=$W124,$C124,0),IF($D124="Per half jaar",IF(MOD(7-$W124,6)=0,$C124,0),IF($D124="Per kwartaal",IF(MOD(7-$W124,3)=0,$C124,0),$F124))))))</f>
        <v/>
      </c>
      <c r="R124" s="107" t="str">
        <f aca="false">IF($C124="","",IF(Dashboard!$C$4="Gemiddeld per maand",$F124,IF(OR($D124="Per maand",$D124="Per week",$D124=""),$F124,IF($D124="Per jaar",IF(8=$W124,$C124,0),IF($D124="Per half jaar",IF(MOD(8-$W124,6)=0,$C124,0),IF($D124="Per kwartaal",IF(MOD(8-$W124,3)=0,$C124,0),$F124))))))</f>
        <v/>
      </c>
      <c r="S124" s="107" t="str">
        <f aca="false">IF($C124="","",IF(Dashboard!$C$4="Gemiddeld per maand",$F124,IF(OR($D124="Per maand",$D124="Per week",$D124=""),$F124,IF($D124="Per jaar",IF(9=$W124,$C124,0),IF($D124="Per half jaar",IF(MOD(9-$W124,6)=0,$C124,0),IF($D124="Per kwartaal",IF(MOD(9-$W124,3)=0,$C124,0),$F124))))))</f>
        <v/>
      </c>
      <c r="T124" s="107" t="str">
        <f aca="false">IF($C124="","",IF(Dashboard!$C$4="Gemiddeld per maand",$F124,IF(OR($D124="Per maand",$D124="Per week",$D124=""),$F124,IF($D124="Per jaar",IF(10=$W124,$C124,0),IF($D124="Per half jaar",IF(MOD(10-$W124,6)=0,$C124,0),IF($D124="Per kwartaal",IF(MOD(10-$W124,3)=0,$C124,0),$F124))))))</f>
        <v/>
      </c>
      <c r="U124" s="107" t="str">
        <f aca="false">IF($C124="","",IF(Dashboard!$C$4="Gemiddeld per maand",$F124,IF(OR($D124="Per maand",$D124="Per week",$D124=""),$F124,IF($D124="Per jaar",IF(11=$W124,$C124,0),IF($D124="Per half jaar",IF(MOD(11-$W124,6)=0,$C124,0),IF($D124="Per kwartaal",IF(MOD(11-$W124,3)=0,$C124,0),$F124))))))</f>
        <v/>
      </c>
      <c r="V124" s="107" t="str">
        <f aca="false">IF($C124="","",IF(Dashboard!$C$4="Gemiddeld per maand",$F124,IF(OR($D124="Per maand",$D124="Per week",$D124=""),$F124,IF($D124="Per jaar",IF(12=$W124,$C124,0),IF($D124="Per half jaar",IF(MOD(12-$W124,6)=0,$C124,0),IF($D124="Per kwartaal",IF(MOD(12-$W124,3)=0,$C124,0),$F124))))))</f>
        <v/>
      </c>
      <c r="W124" s="15" t="n">
        <f aca="false">IF($E124="",1,IFERROR(MATCH($E124,Lijsten!$K$6:$K$17,0),1))</f>
        <v>1</v>
      </c>
    </row>
    <row r="125" customFormat="false" ht="15" hidden="false" customHeight="false" outlineLevel="0" collapsed="false">
      <c r="A125" s="102"/>
      <c r="B125" s="102"/>
      <c r="C125" s="92"/>
      <c r="D125" s="102"/>
      <c r="E125" s="103"/>
      <c r="F125" s="104" t="str">
        <f aca="false">IF($C125="","",IF($D125="Per jaar",$C125/12,IF($D125="Per kwartaal",$C125/3,IF($D125="Per half jaar",$C125/6,IF($D125="Per week",$C125*52/12,$C125)))))</f>
        <v/>
      </c>
      <c r="G125" s="102"/>
      <c r="H125" s="103"/>
      <c r="I125" s="105"/>
      <c r="J125" s="106" t="str">
        <f aca="false">IF($C125="","",IF(Dashboard!$C$4="Gemiddeld per maand",$F125,IF(OR($D125="Per maand",$D125="Per week",$D125=""),$F125,IF($D125="Per jaar",IF(Dashboard!$N$2=$W125,$C125,0),IF($D125="Per half jaar",IF(MOD(Dashboard!$N$2-$W125,6)=0,$C125,0),IF($D125="Per kwartaal",IF(MOD(Dashboard!$N$2-$W125,3)=0,$C125,0),$F125))))))</f>
        <v/>
      </c>
      <c r="K125" s="107" t="str">
        <f aca="false">IF($C125="","",IF(Dashboard!$C$4="Gemiddeld per maand",$F125,IF(OR($D125="Per maand",$D125="Per week",$D125=""),$F125,IF($D125="Per jaar",IF(1=$W125,$C125,0),IF($D125="Per half jaar",IF(MOD(1-$W125,6)=0,$C125,0),IF($D125="Per kwartaal",IF(MOD(1-$W125,3)=0,$C125,0),$F125))))))</f>
        <v/>
      </c>
      <c r="L125" s="107" t="str">
        <f aca="false">IF($C125="","",IF(Dashboard!$C$4="Gemiddeld per maand",$F125,IF(OR($D125="Per maand",$D125="Per week",$D125=""),$F125,IF($D125="Per jaar",IF(2=$W125,$C125,0),IF($D125="Per half jaar",IF(MOD(2-$W125,6)=0,$C125,0),IF($D125="Per kwartaal",IF(MOD(2-$W125,3)=0,$C125,0),$F125))))))</f>
        <v/>
      </c>
      <c r="M125" s="107" t="str">
        <f aca="false">IF($C125="","",IF(Dashboard!$C$4="Gemiddeld per maand",$F125,IF(OR($D125="Per maand",$D125="Per week",$D125=""),$F125,IF($D125="Per jaar",IF(3=$W125,$C125,0),IF($D125="Per half jaar",IF(MOD(3-$W125,6)=0,$C125,0),IF($D125="Per kwartaal",IF(MOD(3-$W125,3)=0,$C125,0),$F125))))))</f>
        <v/>
      </c>
      <c r="N125" s="107" t="str">
        <f aca="false">IF($C125="","",IF(Dashboard!$C$4="Gemiddeld per maand",$F125,IF(OR($D125="Per maand",$D125="Per week",$D125=""),$F125,IF($D125="Per jaar",IF(4=$W125,$C125,0),IF($D125="Per half jaar",IF(MOD(4-$W125,6)=0,$C125,0),IF($D125="Per kwartaal",IF(MOD(4-$W125,3)=0,$C125,0),$F125))))))</f>
        <v/>
      </c>
      <c r="O125" s="107" t="str">
        <f aca="false">IF($C125="","",IF(Dashboard!$C$4="Gemiddeld per maand",$F125,IF(OR($D125="Per maand",$D125="Per week",$D125=""),$F125,IF($D125="Per jaar",IF(5=$W125,$C125,0),IF($D125="Per half jaar",IF(MOD(5-$W125,6)=0,$C125,0),IF($D125="Per kwartaal",IF(MOD(5-$W125,3)=0,$C125,0),$F125))))))</f>
        <v/>
      </c>
      <c r="P125" s="107" t="str">
        <f aca="false">IF($C125="","",IF(Dashboard!$C$4="Gemiddeld per maand",$F125,IF(OR($D125="Per maand",$D125="Per week",$D125=""),$F125,IF($D125="Per jaar",IF(6=$W125,$C125,0),IF($D125="Per half jaar",IF(MOD(6-$W125,6)=0,$C125,0),IF($D125="Per kwartaal",IF(MOD(6-$W125,3)=0,$C125,0),$F125))))))</f>
        <v/>
      </c>
      <c r="Q125" s="107" t="str">
        <f aca="false">IF($C125="","",IF(Dashboard!$C$4="Gemiddeld per maand",$F125,IF(OR($D125="Per maand",$D125="Per week",$D125=""),$F125,IF($D125="Per jaar",IF(7=$W125,$C125,0),IF($D125="Per half jaar",IF(MOD(7-$W125,6)=0,$C125,0),IF($D125="Per kwartaal",IF(MOD(7-$W125,3)=0,$C125,0),$F125))))))</f>
        <v/>
      </c>
      <c r="R125" s="107" t="str">
        <f aca="false">IF($C125="","",IF(Dashboard!$C$4="Gemiddeld per maand",$F125,IF(OR($D125="Per maand",$D125="Per week",$D125=""),$F125,IF($D125="Per jaar",IF(8=$W125,$C125,0),IF($D125="Per half jaar",IF(MOD(8-$W125,6)=0,$C125,0),IF($D125="Per kwartaal",IF(MOD(8-$W125,3)=0,$C125,0),$F125))))))</f>
        <v/>
      </c>
      <c r="S125" s="107" t="str">
        <f aca="false">IF($C125="","",IF(Dashboard!$C$4="Gemiddeld per maand",$F125,IF(OR($D125="Per maand",$D125="Per week",$D125=""),$F125,IF($D125="Per jaar",IF(9=$W125,$C125,0),IF($D125="Per half jaar",IF(MOD(9-$W125,6)=0,$C125,0),IF($D125="Per kwartaal",IF(MOD(9-$W125,3)=0,$C125,0),$F125))))))</f>
        <v/>
      </c>
      <c r="T125" s="107" t="str">
        <f aca="false">IF($C125="","",IF(Dashboard!$C$4="Gemiddeld per maand",$F125,IF(OR($D125="Per maand",$D125="Per week",$D125=""),$F125,IF($D125="Per jaar",IF(10=$W125,$C125,0),IF($D125="Per half jaar",IF(MOD(10-$W125,6)=0,$C125,0),IF($D125="Per kwartaal",IF(MOD(10-$W125,3)=0,$C125,0),$F125))))))</f>
        <v/>
      </c>
      <c r="U125" s="107" t="str">
        <f aca="false">IF($C125="","",IF(Dashboard!$C$4="Gemiddeld per maand",$F125,IF(OR($D125="Per maand",$D125="Per week",$D125=""),$F125,IF($D125="Per jaar",IF(11=$W125,$C125,0),IF($D125="Per half jaar",IF(MOD(11-$W125,6)=0,$C125,0),IF($D125="Per kwartaal",IF(MOD(11-$W125,3)=0,$C125,0),$F125))))))</f>
        <v/>
      </c>
      <c r="V125" s="107" t="str">
        <f aca="false">IF($C125="","",IF(Dashboard!$C$4="Gemiddeld per maand",$F125,IF(OR($D125="Per maand",$D125="Per week",$D125=""),$F125,IF($D125="Per jaar",IF(12=$W125,$C125,0),IF($D125="Per half jaar",IF(MOD(12-$W125,6)=0,$C125,0),IF($D125="Per kwartaal",IF(MOD(12-$W125,3)=0,$C125,0),$F125))))))</f>
        <v/>
      </c>
      <c r="W125" s="15" t="n">
        <f aca="false">IF($E125="",1,IFERROR(MATCH($E125,Lijsten!$K$6:$K$17,0),1))</f>
        <v>1</v>
      </c>
    </row>
    <row r="126" customFormat="false" ht="15" hidden="false" customHeight="false" outlineLevel="0" collapsed="false">
      <c r="A126" s="102"/>
      <c r="B126" s="102"/>
      <c r="C126" s="92"/>
      <c r="D126" s="102"/>
      <c r="E126" s="103"/>
      <c r="F126" s="104" t="str">
        <f aca="false">IF($C126="","",IF($D126="Per jaar",$C126/12,IF($D126="Per kwartaal",$C126/3,IF($D126="Per half jaar",$C126/6,IF($D126="Per week",$C126*52/12,$C126)))))</f>
        <v/>
      </c>
      <c r="G126" s="102"/>
      <c r="H126" s="103"/>
      <c r="I126" s="105"/>
      <c r="J126" s="106" t="str">
        <f aca="false">IF($C126="","",IF(Dashboard!$C$4="Gemiddeld per maand",$F126,IF(OR($D126="Per maand",$D126="Per week",$D126=""),$F126,IF($D126="Per jaar",IF(Dashboard!$N$2=$W126,$C126,0),IF($D126="Per half jaar",IF(MOD(Dashboard!$N$2-$W126,6)=0,$C126,0),IF($D126="Per kwartaal",IF(MOD(Dashboard!$N$2-$W126,3)=0,$C126,0),$F126))))))</f>
        <v/>
      </c>
      <c r="K126" s="107" t="str">
        <f aca="false">IF($C126="","",IF(Dashboard!$C$4="Gemiddeld per maand",$F126,IF(OR($D126="Per maand",$D126="Per week",$D126=""),$F126,IF($D126="Per jaar",IF(1=$W126,$C126,0),IF($D126="Per half jaar",IF(MOD(1-$W126,6)=0,$C126,0),IF($D126="Per kwartaal",IF(MOD(1-$W126,3)=0,$C126,0),$F126))))))</f>
        <v/>
      </c>
      <c r="L126" s="107" t="str">
        <f aca="false">IF($C126="","",IF(Dashboard!$C$4="Gemiddeld per maand",$F126,IF(OR($D126="Per maand",$D126="Per week",$D126=""),$F126,IF($D126="Per jaar",IF(2=$W126,$C126,0),IF($D126="Per half jaar",IF(MOD(2-$W126,6)=0,$C126,0),IF($D126="Per kwartaal",IF(MOD(2-$W126,3)=0,$C126,0),$F126))))))</f>
        <v/>
      </c>
      <c r="M126" s="107" t="str">
        <f aca="false">IF($C126="","",IF(Dashboard!$C$4="Gemiddeld per maand",$F126,IF(OR($D126="Per maand",$D126="Per week",$D126=""),$F126,IF($D126="Per jaar",IF(3=$W126,$C126,0),IF($D126="Per half jaar",IF(MOD(3-$W126,6)=0,$C126,0),IF($D126="Per kwartaal",IF(MOD(3-$W126,3)=0,$C126,0),$F126))))))</f>
        <v/>
      </c>
      <c r="N126" s="107" t="str">
        <f aca="false">IF($C126="","",IF(Dashboard!$C$4="Gemiddeld per maand",$F126,IF(OR($D126="Per maand",$D126="Per week",$D126=""),$F126,IF($D126="Per jaar",IF(4=$W126,$C126,0),IF($D126="Per half jaar",IF(MOD(4-$W126,6)=0,$C126,0),IF($D126="Per kwartaal",IF(MOD(4-$W126,3)=0,$C126,0),$F126))))))</f>
        <v/>
      </c>
      <c r="O126" s="107" t="str">
        <f aca="false">IF($C126="","",IF(Dashboard!$C$4="Gemiddeld per maand",$F126,IF(OR($D126="Per maand",$D126="Per week",$D126=""),$F126,IF($D126="Per jaar",IF(5=$W126,$C126,0),IF($D126="Per half jaar",IF(MOD(5-$W126,6)=0,$C126,0),IF($D126="Per kwartaal",IF(MOD(5-$W126,3)=0,$C126,0),$F126))))))</f>
        <v/>
      </c>
      <c r="P126" s="107" t="str">
        <f aca="false">IF($C126="","",IF(Dashboard!$C$4="Gemiddeld per maand",$F126,IF(OR($D126="Per maand",$D126="Per week",$D126=""),$F126,IF($D126="Per jaar",IF(6=$W126,$C126,0),IF($D126="Per half jaar",IF(MOD(6-$W126,6)=0,$C126,0),IF($D126="Per kwartaal",IF(MOD(6-$W126,3)=0,$C126,0),$F126))))))</f>
        <v/>
      </c>
      <c r="Q126" s="107" t="str">
        <f aca="false">IF($C126="","",IF(Dashboard!$C$4="Gemiddeld per maand",$F126,IF(OR($D126="Per maand",$D126="Per week",$D126=""),$F126,IF($D126="Per jaar",IF(7=$W126,$C126,0),IF($D126="Per half jaar",IF(MOD(7-$W126,6)=0,$C126,0),IF($D126="Per kwartaal",IF(MOD(7-$W126,3)=0,$C126,0),$F126))))))</f>
        <v/>
      </c>
      <c r="R126" s="107" t="str">
        <f aca="false">IF($C126="","",IF(Dashboard!$C$4="Gemiddeld per maand",$F126,IF(OR($D126="Per maand",$D126="Per week",$D126=""),$F126,IF($D126="Per jaar",IF(8=$W126,$C126,0),IF($D126="Per half jaar",IF(MOD(8-$W126,6)=0,$C126,0),IF($D126="Per kwartaal",IF(MOD(8-$W126,3)=0,$C126,0),$F126))))))</f>
        <v/>
      </c>
      <c r="S126" s="107" t="str">
        <f aca="false">IF($C126="","",IF(Dashboard!$C$4="Gemiddeld per maand",$F126,IF(OR($D126="Per maand",$D126="Per week",$D126=""),$F126,IF($D126="Per jaar",IF(9=$W126,$C126,0),IF($D126="Per half jaar",IF(MOD(9-$W126,6)=0,$C126,0),IF($D126="Per kwartaal",IF(MOD(9-$W126,3)=0,$C126,0),$F126))))))</f>
        <v/>
      </c>
      <c r="T126" s="107" t="str">
        <f aca="false">IF($C126="","",IF(Dashboard!$C$4="Gemiddeld per maand",$F126,IF(OR($D126="Per maand",$D126="Per week",$D126=""),$F126,IF($D126="Per jaar",IF(10=$W126,$C126,0),IF($D126="Per half jaar",IF(MOD(10-$W126,6)=0,$C126,0),IF($D126="Per kwartaal",IF(MOD(10-$W126,3)=0,$C126,0),$F126))))))</f>
        <v/>
      </c>
      <c r="U126" s="107" t="str">
        <f aca="false">IF($C126="","",IF(Dashboard!$C$4="Gemiddeld per maand",$F126,IF(OR($D126="Per maand",$D126="Per week",$D126=""),$F126,IF($D126="Per jaar",IF(11=$W126,$C126,0),IF($D126="Per half jaar",IF(MOD(11-$W126,6)=0,$C126,0),IF($D126="Per kwartaal",IF(MOD(11-$W126,3)=0,$C126,0),$F126))))))</f>
        <v/>
      </c>
      <c r="V126" s="107" t="str">
        <f aca="false">IF($C126="","",IF(Dashboard!$C$4="Gemiddeld per maand",$F126,IF(OR($D126="Per maand",$D126="Per week",$D126=""),$F126,IF($D126="Per jaar",IF(12=$W126,$C126,0),IF($D126="Per half jaar",IF(MOD(12-$W126,6)=0,$C126,0),IF($D126="Per kwartaal",IF(MOD(12-$W126,3)=0,$C126,0),$F126))))))</f>
        <v/>
      </c>
      <c r="W126" s="15" t="n">
        <f aca="false">IF($E126="",1,IFERROR(MATCH($E126,Lijsten!$K$6:$K$17,0),1))</f>
        <v>1</v>
      </c>
    </row>
    <row r="127" customFormat="false" ht="15" hidden="false" customHeight="false" outlineLevel="0" collapsed="false">
      <c r="A127" s="102"/>
      <c r="B127" s="102"/>
      <c r="C127" s="92"/>
      <c r="D127" s="102"/>
      <c r="E127" s="103"/>
      <c r="F127" s="104" t="str">
        <f aca="false">IF($C127="","",IF($D127="Per jaar",$C127/12,IF($D127="Per kwartaal",$C127/3,IF($D127="Per half jaar",$C127/6,IF($D127="Per week",$C127*52/12,$C127)))))</f>
        <v/>
      </c>
      <c r="G127" s="102"/>
      <c r="H127" s="103"/>
      <c r="I127" s="105"/>
      <c r="J127" s="106" t="str">
        <f aca="false">IF($C127="","",IF(Dashboard!$C$4="Gemiddeld per maand",$F127,IF(OR($D127="Per maand",$D127="Per week",$D127=""),$F127,IF($D127="Per jaar",IF(Dashboard!$N$2=$W127,$C127,0),IF($D127="Per half jaar",IF(MOD(Dashboard!$N$2-$W127,6)=0,$C127,0),IF($D127="Per kwartaal",IF(MOD(Dashboard!$N$2-$W127,3)=0,$C127,0),$F127))))))</f>
        <v/>
      </c>
      <c r="K127" s="107" t="str">
        <f aca="false">IF($C127="","",IF(Dashboard!$C$4="Gemiddeld per maand",$F127,IF(OR($D127="Per maand",$D127="Per week",$D127=""),$F127,IF($D127="Per jaar",IF(1=$W127,$C127,0),IF($D127="Per half jaar",IF(MOD(1-$W127,6)=0,$C127,0),IF($D127="Per kwartaal",IF(MOD(1-$W127,3)=0,$C127,0),$F127))))))</f>
        <v/>
      </c>
      <c r="L127" s="107" t="str">
        <f aca="false">IF($C127="","",IF(Dashboard!$C$4="Gemiddeld per maand",$F127,IF(OR($D127="Per maand",$D127="Per week",$D127=""),$F127,IF($D127="Per jaar",IF(2=$W127,$C127,0),IF($D127="Per half jaar",IF(MOD(2-$W127,6)=0,$C127,0),IF($D127="Per kwartaal",IF(MOD(2-$W127,3)=0,$C127,0),$F127))))))</f>
        <v/>
      </c>
      <c r="M127" s="107" t="str">
        <f aca="false">IF($C127="","",IF(Dashboard!$C$4="Gemiddeld per maand",$F127,IF(OR($D127="Per maand",$D127="Per week",$D127=""),$F127,IF($D127="Per jaar",IF(3=$W127,$C127,0),IF($D127="Per half jaar",IF(MOD(3-$W127,6)=0,$C127,0),IF($D127="Per kwartaal",IF(MOD(3-$W127,3)=0,$C127,0),$F127))))))</f>
        <v/>
      </c>
      <c r="N127" s="107" t="str">
        <f aca="false">IF($C127="","",IF(Dashboard!$C$4="Gemiddeld per maand",$F127,IF(OR($D127="Per maand",$D127="Per week",$D127=""),$F127,IF($D127="Per jaar",IF(4=$W127,$C127,0),IF($D127="Per half jaar",IF(MOD(4-$W127,6)=0,$C127,0),IF($D127="Per kwartaal",IF(MOD(4-$W127,3)=0,$C127,0),$F127))))))</f>
        <v/>
      </c>
      <c r="O127" s="107" t="str">
        <f aca="false">IF($C127="","",IF(Dashboard!$C$4="Gemiddeld per maand",$F127,IF(OR($D127="Per maand",$D127="Per week",$D127=""),$F127,IF($D127="Per jaar",IF(5=$W127,$C127,0),IF($D127="Per half jaar",IF(MOD(5-$W127,6)=0,$C127,0),IF($D127="Per kwartaal",IF(MOD(5-$W127,3)=0,$C127,0),$F127))))))</f>
        <v/>
      </c>
      <c r="P127" s="107" t="str">
        <f aca="false">IF($C127="","",IF(Dashboard!$C$4="Gemiddeld per maand",$F127,IF(OR($D127="Per maand",$D127="Per week",$D127=""),$F127,IF($D127="Per jaar",IF(6=$W127,$C127,0),IF($D127="Per half jaar",IF(MOD(6-$W127,6)=0,$C127,0),IF($D127="Per kwartaal",IF(MOD(6-$W127,3)=0,$C127,0),$F127))))))</f>
        <v/>
      </c>
      <c r="Q127" s="107" t="str">
        <f aca="false">IF($C127="","",IF(Dashboard!$C$4="Gemiddeld per maand",$F127,IF(OR($D127="Per maand",$D127="Per week",$D127=""),$F127,IF($D127="Per jaar",IF(7=$W127,$C127,0),IF($D127="Per half jaar",IF(MOD(7-$W127,6)=0,$C127,0),IF($D127="Per kwartaal",IF(MOD(7-$W127,3)=0,$C127,0),$F127))))))</f>
        <v/>
      </c>
      <c r="R127" s="107" t="str">
        <f aca="false">IF($C127="","",IF(Dashboard!$C$4="Gemiddeld per maand",$F127,IF(OR($D127="Per maand",$D127="Per week",$D127=""),$F127,IF($D127="Per jaar",IF(8=$W127,$C127,0),IF($D127="Per half jaar",IF(MOD(8-$W127,6)=0,$C127,0),IF($D127="Per kwartaal",IF(MOD(8-$W127,3)=0,$C127,0),$F127))))))</f>
        <v/>
      </c>
      <c r="S127" s="107" t="str">
        <f aca="false">IF($C127="","",IF(Dashboard!$C$4="Gemiddeld per maand",$F127,IF(OR($D127="Per maand",$D127="Per week",$D127=""),$F127,IF($D127="Per jaar",IF(9=$W127,$C127,0),IF($D127="Per half jaar",IF(MOD(9-$W127,6)=0,$C127,0),IF($D127="Per kwartaal",IF(MOD(9-$W127,3)=0,$C127,0),$F127))))))</f>
        <v/>
      </c>
      <c r="T127" s="107" t="str">
        <f aca="false">IF($C127="","",IF(Dashboard!$C$4="Gemiddeld per maand",$F127,IF(OR($D127="Per maand",$D127="Per week",$D127=""),$F127,IF($D127="Per jaar",IF(10=$W127,$C127,0),IF($D127="Per half jaar",IF(MOD(10-$W127,6)=0,$C127,0),IF($D127="Per kwartaal",IF(MOD(10-$W127,3)=0,$C127,0),$F127))))))</f>
        <v/>
      </c>
      <c r="U127" s="107" t="str">
        <f aca="false">IF($C127="","",IF(Dashboard!$C$4="Gemiddeld per maand",$F127,IF(OR($D127="Per maand",$D127="Per week",$D127=""),$F127,IF($D127="Per jaar",IF(11=$W127,$C127,0),IF($D127="Per half jaar",IF(MOD(11-$W127,6)=0,$C127,0),IF($D127="Per kwartaal",IF(MOD(11-$W127,3)=0,$C127,0),$F127))))))</f>
        <v/>
      </c>
      <c r="V127" s="107" t="str">
        <f aca="false">IF($C127="","",IF(Dashboard!$C$4="Gemiddeld per maand",$F127,IF(OR($D127="Per maand",$D127="Per week",$D127=""),$F127,IF($D127="Per jaar",IF(12=$W127,$C127,0),IF($D127="Per half jaar",IF(MOD(12-$W127,6)=0,$C127,0),IF($D127="Per kwartaal",IF(MOD(12-$W127,3)=0,$C127,0),$F127))))))</f>
        <v/>
      </c>
      <c r="W127" s="15" t="n">
        <f aca="false">IF($E127="",1,IFERROR(MATCH($E127,Lijsten!$K$6:$K$17,0),1))</f>
        <v>1</v>
      </c>
    </row>
    <row r="128" customFormat="false" ht="15" hidden="false" customHeight="false" outlineLevel="0" collapsed="false">
      <c r="A128" s="102"/>
      <c r="B128" s="102"/>
      <c r="C128" s="92"/>
      <c r="D128" s="102"/>
      <c r="E128" s="103"/>
      <c r="F128" s="104" t="str">
        <f aca="false">IF($C128="","",IF($D128="Per jaar",$C128/12,IF($D128="Per kwartaal",$C128/3,IF($D128="Per half jaar",$C128/6,IF($D128="Per week",$C128*52/12,$C128)))))</f>
        <v/>
      </c>
      <c r="G128" s="102"/>
      <c r="H128" s="103"/>
      <c r="I128" s="105"/>
      <c r="J128" s="106" t="str">
        <f aca="false">IF($C128="","",IF(Dashboard!$C$4="Gemiddeld per maand",$F128,IF(OR($D128="Per maand",$D128="Per week",$D128=""),$F128,IF($D128="Per jaar",IF(Dashboard!$N$2=$W128,$C128,0),IF($D128="Per half jaar",IF(MOD(Dashboard!$N$2-$W128,6)=0,$C128,0),IF($D128="Per kwartaal",IF(MOD(Dashboard!$N$2-$W128,3)=0,$C128,0),$F128))))))</f>
        <v/>
      </c>
      <c r="K128" s="107" t="str">
        <f aca="false">IF($C128="","",IF(Dashboard!$C$4="Gemiddeld per maand",$F128,IF(OR($D128="Per maand",$D128="Per week",$D128=""),$F128,IF($D128="Per jaar",IF(1=$W128,$C128,0),IF($D128="Per half jaar",IF(MOD(1-$W128,6)=0,$C128,0),IF($D128="Per kwartaal",IF(MOD(1-$W128,3)=0,$C128,0),$F128))))))</f>
        <v/>
      </c>
      <c r="L128" s="107" t="str">
        <f aca="false">IF($C128="","",IF(Dashboard!$C$4="Gemiddeld per maand",$F128,IF(OR($D128="Per maand",$D128="Per week",$D128=""),$F128,IF($D128="Per jaar",IF(2=$W128,$C128,0),IF($D128="Per half jaar",IF(MOD(2-$W128,6)=0,$C128,0),IF($D128="Per kwartaal",IF(MOD(2-$W128,3)=0,$C128,0),$F128))))))</f>
        <v/>
      </c>
      <c r="M128" s="107" t="str">
        <f aca="false">IF($C128="","",IF(Dashboard!$C$4="Gemiddeld per maand",$F128,IF(OR($D128="Per maand",$D128="Per week",$D128=""),$F128,IF($D128="Per jaar",IF(3=$W128,$C128,0),IF($D128="Per half jaar",IF(MOD(3-$W128,6)=0,$C128,0),IF($D128="Per kwartaal",IF(MOD(3-$W128,3)=0,$C128,0),$F128))))))</f>
        <v/>
      </c>
      <c r="N128" s="107" t="str">
        <f aca="false">IF($C128="","",IF(Dashboard!$C$4="Gemiddeld per maand",$F128,IF(OR($D128="Per maand",$D128="Per week",$D128=""),$F128,IF($D128="Per jaar",IF(4=$W128,$C128,0),IF($D128="Per half jaar",IF(MOD(4-$W128,6)=0,$C128,0),IF($D128="Per kwartaal",IF(MOD(4-$W128,3)=0,$C128,0),$F128))))))</f>
        <v/>
      </c>
      <c r="O128" s="107" t="str">
        <f aca="false">IF($C128="","",IF(Dashboard!$C$4="Gemiddeld per maand",$F128,IF(OR($D128="Per maand",$D128="Per week",$D128=""),$F128,IF($D128="Per jaar",IF(5=$W128,$C128,0),IF($D128="Per half jaar",IF(MOD(5-$W128,6)=0,$C128,0),IF($D128="Per kwartaal",IF(MOD(5-$W128,3)=0,$C128,0),$F128))))))</f>
        <v/>
      </c>
      <c r="P128" s="107" t="str">
        <f aca="false">IF($C128="","",IF(Dashboard!$C$4="Gemiddeld per maand",$F128,IF(OR($D128="Per maand",$D128="Per week",$D128=""),$F128,IF($D128="Per jaar",IF(6=$W128,$C128,0),IF($D128="Per half jaar",IF(MOD(6-$W128,6)=0,$C128,0),IF($D128="Per kwartaal",IF(MOD(6-$W128,3)=0,$C128,0),$F128))))))</f>
        <v/>
      </c>
      <c r="Q128" s="107" t="str">
        <f aca="false">IF($C128="","",IF(Dashboard!$C$4="Gemiddeld per maand",$F128,IF(OR($D128="Per maand",$D128="Per week",$D128=""),$F128,IF($D128="Per jaar",IF(7=$W128,$C128,0),IF($D128="Per half jaar",IF(MOD(7-$W128,6)=0,$C128,0),IF($D128="Per kwartaal",IF(MOD(7-$W128,3)=0,$C128,0),$F128))))))</f>
        <v/>
      </c>
      <c r="R128" s="107" t="str">
        <f aca="false">IF($C128="","",IF(Dashboard!$C$4="Gemiddeld per maand",$F128,IF(OR($D128="Per maand",$D128="Per week",$D128=""),$F128,IF($D128="Per jaar",IF(8=$W128,$C128,0),IF($D128="Per half jaar",IF(MOD(8-$W128,6)=0,$C128,0),IF($D128="Per kwartaal",IF(MOD(8-$W128,3)=0,$C128,0),$F128))))))</f>
        <v/>
      </c>
      <c r="S128" s="107" t="str">
        <f aca="false">IF($C128="","",IF(Dashboard!$C$4="Gemiddeld per maand",$F128,IF(OR($D128="Per maand",$D128="Per week",$D128=""),$F128,IF($D128="Per jaar",IF(9=$W128,$C128,0),IF($D128="Per half jaar",IF(MOD(9-$W128,6)=0,$C128,0),IF($D128="Per kwartaal",IF(MOD(9-$W128,3)=0,$C128,0),$F128))))))</f>
        <v/>
      </c>
      <c r="T128" s="107" t="str">
        <f aca="false">IF($C128="","",IF(Dashboard!$C$4="Gemiddeld per maand",$F128,IF(OR($D128="Per maand",$D128="Per week",$D128=""),$F128,IF($D128="Per jaar",IF(10=$W128,$C128,0),IF($D128="Per half jaar",IF(MOD(10-$W128,6)=0,$C128,0),IF($D128="Per kwartaal",IF(MOD(10-$W128,3)=0,$C128,0),$F128))))))</f>
        <v/>
      </c>
      <c r="U128" s="107" t="str">
        <f aca="false">IF($C128="","",IF(Dashboard!$C$4="Gemiddeld per maand",$F128,IF(OR($D128="Per maand",$D128="Per week",$D128=""),$F128,IF($D128="Per jaar",IF(11=$W128,$C128,0),IF($D128="Per half jaar",IF(MOD(11-$W128,6)=0,$C128,0),IF($D128="Per kwartaal",IF(MOD(11-$W128,3)=0,$C128,0),$F128))))))</f>
        <v/>
      </c>
      <c r="V128" s="107" t="str">
        <f aca="false">IF($C128="","",IF(Dashboard!$C$4="Gemiddeld per maand",$F128,IF(OR($D128="Per maand",$D128="Per week",$D128=""),$F128,IF($D128="Per jaar",IF(12=$W128,$C128,0),IF($D128="Per half jaar",IF(MOD(12-$W128,6)=0,$C128,0),IF($D128="Per kwartaal",IF(MOD(12-$W128,3)=0,$C128,0),$F128))))))</f>
        <v/>
      </c>
      <c r="W128" s="15" t="n">
        <f aca="false">IF($E128="",1,IFERROR(MATCH($E128,Lijsten!$K$6:$K$17,0),1))</f>
        <v>1</v>
      </c>
    </row>
    <row r="129" customFormat="false" ht="15" hidden="false" customHeight="false" outlineLevel="0" collapsed="false">
      <c r="A129" s="102"/>
      <c r="B129" s="102"/>
      <c r="C129" s="92"/>
      <c r="D129" s="102"/>
      <c r="E129" s="103"/>
      <c r="F129" s="104" t="str">
        <f aca="false">IF($C129="","",IF($D129="Per jaar",$C129/12,IF($D129="Per kwartaal",$C129/3,IF($D129="Per half jaar",$C129/6,IF($D129="Per week",$C129*52/12,$C129)))))</f>
        <v/>
      </c>
      <c r="G129" s="102"/>
      <c r="H129" s="103"/>
      <c r="I129" s="105"/>
      <c r="J129" s="106" t="str">
        <f aca="false">IF($C129="","",IF(Dashboard!$C$4="Gemiddeld per maand",$F129,IF(OR($D129="Per maand",$D129="Per week",$D129=""),$F129,IF($D129="Per jaar",IF(Dashboard!$N$2=$W129,$C129,0),IF($D129="Per half jaar",IF(MOD(Dashboard!$N$2-$W129,6)=0,$C129,0),IF($D129="Per kwartaal",IF(MOD(Dashboard!$N$2-$W129,3)=0,$C129,0),$F129))))))</f>
        <v/>
      </c>
      <c r="K129" s="107" t="str">
        <f aca="false">IF($C129="","",IF(Dashboard!$C$4="Gemiddeld per maand",$F129,IF(OR($D129="Per maand",$D129="Per week",$D129=""),$F129,IF($D129="Per jaar",IF(1=$W129,$C129,0),IF($D129="Per half jaar",IF(MOD(1-$W129,6)=0,$C129,0),IF($D129="Per kwartaal",IF(MOD(1-$W129,3)=0,$C129,0),$F129))))))</f>
        <v/>
      </c>
      <c r="L129" s="107" t="str">
        <f aca="false">IF($C129="","",IF(Dashboard!$C$4="Gemiddeld per maand",$F129,IF(OR($D129="Per maand",$D129="Per week",$D129=""),$F129,IF($D129="Per jaar",IF(2=$W129,$C129,0),IF($D129="Per half jaar",IF(MOD(2-$W129,6)=0,$C129,0),IF($D129="Per kwartaal",IF(MOD(2-$W129,3)=0,$C129,0),$F129))))))</f>
        <v/>
      </c>
      <c r="M129" s="107" t="str">
        <f aca="false">IF($C129="","",IF(Dashboard!$C$4="Gemiddeld per maand",$F129,IF(OR($D129="Per maand",$D129="Per week",$D129=""),$F129,IF($D129="Per jaar",IF(3=$W129,$C129,0),IF($D129="Per half jaar",IF(MOD(3-$W129,6)=0,$C129,0),IF($D129="Per kwartaal",IF(MOD(3-$W129,3)=0,$C129,0),$F129))))))</f>
        <v/>
      </c>
      <c r="N129" s="107" t="str">
        <f aca="false">IF($C129="","",IF(Dashboard!$C$4="Gemiddeld per maand",$F129,IF(OR($D129="Per maand",$D129="Per week",$D129=""),$F129,IF($D129="Per jaar",IF(4=$W129,$C129,0),IF($D129="Per half jaar",IF(MOD(4-$W129,6)=0,$C129,0),IF($D129="Per kwartaal",IF(MOD(4-$W129,3)=0,$C129,0),$F129))))))</f>
        <v/>
      </c>
      <c r="O129" s="107" t="str">
        <f aca="false">IF($C129="","",IF(Dashboard!$C$4="Gemiddeld per maand",$F129,IF(OR($D129="Per maand",$D129="Per week",$D129=""),$F129,IF($D129="Per jaar",IF(5=$W129,$C129,0),IF($D129="Per half jaar",IF(MOD(5-$W129,6)=0,$C129,0),IF($D129="Per kwartaal",IF(MOD(5-$W129,3)=0,$C129,0),$F129))))))</f>
        <v/>
      </c>
      <c r="P129" s="107" t="str">
        <f aca="false">IF($C129="","",IF(Dashboard!$C$4="Gemiddeld per maand",$F129,IF(OR($D129="Per maand",$D129="Per week",$D129=""),$F129,IF($D129="Per jaar",IF(6=$W129,$C129,0),IF($D129="Per half jaar",IF(MOD(6-$W129,6)=0,$C129,0),IF($D129="Per kwartaal",IF(MOD(6-$W129,3)=0,$C129,0),$F129))))))</f>
        <v/>
      </c>
      <c r="Q129" s="107" t="str">
        <f aca="false">IF($C129="","",IF(Dashboard!$C$4="Gemiddeld per maand",$F129,IF(OR($D129="Per maand",$D129="Per week",$D129=""),$F129,IF($D129="Per jaar",IF(7=$W129,$C129,0),IF($D129="Per half jaar",IF(MOD(7-$W129,6)=0,$C129,0),IF($D129="Per kwartaal",IF(MOD(7-$W129,3)=0,$C129,0),$F129))))))</f>
        <v/>
      </c>
      <c r="R129" s="107" t="str">
        <f aca="false">IF($C129="","",IF(Dashboard!$C$4="Gemiddeld per maand",$F129,IF(OR($D129="Per maand",$D129="Per week",$D129=""),$F129,IF($D129="Per jaar",IF(8=$W129,$C129,0),IF($D129="Per half jaar",IF(MOD(8-$W129,6)=0,$C129,0),IF($D129="Per kwartaal",IF(MOD(8-$W129,3)=0,$C129,0),$F129))))))</f>
        <v/>
      </c>
      <c r="S129" s="107" t="str">
        <f aca="false">IF($C129="","",IF(Dashboard!$C$4="Gemiddeld per maand",$F129,IF(OR($D129="Per maand",$D129="Per week",$D129=""),$F129,IF($D129="Per jaar",IF(9=$W129,$C129,0),IF($D129="Per half jaar",IF(MOD(9-$W129,6)=0,$C129,0),IF($D129="Per kwartaal",IF(MOD(9-$W129,3)=0,$C129,0),$F129))))))</f>
        <v/>
      </c>
      <c r="T129" s="107" t="str">
        <f aca="false">IF($C129="","",IF(Dashboard!$C$4="Gemiddeld per maand",$F129,IF(OR($D129="Per maand",$D129="Per week",$D129=""),$F129,IF($D129="Per jaar",IF(10=$W129,$C129,0),IF($D129="Per half jaar",IF(MOD(10-$W129,6)=0,$C129,0),IF($D129="Per kwartaal",IF(MOD(10-$W129,3)=0,$C129,0),$F129))))))</f>
        <v/>
      </c>
      <c r="U129" s="107" t="str">
        <f aca="false">IF($C129="","",IF(Dashboard!$C$4="Gemiddeld per maand",$F129,IF(OR($D129="Per maand",$D129="Per week",$D129=""),$F129,IF($D129="Per jaar",IF(11=$W129,$C129,0),IF($D129="Per half jaar",IF(MOD(11-$W129,6)=0,$C129,0),IF($D129="Per kwartaal",IF(MOD(11-$W129,3)=0,$C129,0),$F129))))))</f>
        <v/>
      </c>
      <c r="V129" s="107" t="str">
        <f aca="false">IF($C129="","",IF(Dashboard!$C$4="Gemiddeld per maand",$F129,IF(OR($D129="Per maand",$D129="Per week",$D129=""),$F129,IF($D129="Per jaar",IF(12=$W129,$C129,0),IF($D129="Per half jaar",IF(MOD(12-$W129,6)=0,$C129,0),IF($D129="Per kwartaal",IF(MOD(12-$W129,3)=0,$C129,0),$F129))))))</f>
        <v/>
      </c>
      <c r="W129" s="15" t="n">
        <f aca="false">IF($E129="",1,IFERROR(MATCH($E129,Lijsten!$K$6:$K$17,0),1))</f>
        <v>1</v>
      </c>
    </row>
    <row r="130" customFormat="false" ht="15" hidden="false" customHeight="false" outlineLevel="0" collapsed="false">
      <c r="A130" s="102"/>
      <c r="B130" s="102"/>
      <c r="C130" s="92"/>
      <c r="D130" s="102"/>
      <c r="E130" s="103"/>
      <c r="F130" s="104" t="str">
        <f aca="false">IF($C130="","",IF($D130="Per jaar",$C130/12,IF($D130="Per kwartaal",$C130/3,IF($D130="Per half jaar",$C130/6,IF($D130="Per week",$C130*52/12,$C130)))))</f>
        <v/>
      </c>
      <c r="G130" s="102"/>
      <c r="H130" s="103"/>
      <c r="I130" s="105"/>
      <c r="J130" s="106" t="str">
        <f aca="false">IF($C130="","",IF(Dashboard!$C$4="Gemiddeld per maand",$F130,IF(OR($D130="Per maand",$D130="Per week",$D130=""),$F130,IF($D130="Per jaar",IF(Dashboard!$N$2=$W130,$C130,0),IF($D130="Per half jaar",IF(MOD(Dashboard!$N$2-$W130,6)=0,$C130,0),IF($D130="Per kwartaal",IF(MOD(Dashboard!$N$2-$W130,3)=0,$C130,0),$F130))))))</f>
        <v/>
      </c>
      <c r="K130" s="107" t="str">
        <f aca="false">IF($C130="","",IF(Dashboard!$C$4="Gemiddeld per maand",$F130,IF(OR($D130="Per maand",$D130="Per week",$D130=""),$F130,IF($D130="Per jaar",IF(1=$W130,$C130,0),IF($D130="Per half jaar",IF(MOD(1-$W130,6)=0,$C130,0),IF($D130="Per kwartaal",IF(MOD(1-$W130,3)=0,$C130,0),$F130))))))</f>
        <v/>
      </c>
      <c r="L130" s="107" t="str">
        <f aca="false">IF($C130="","",IF(Dashboard!$C$4="Gemiddeld per maand",$F130,IF(OR($D130="Per maand",$D130="Per week",$D130=""),$F130,IF($D130="Per jaar",IF(2=$W130,$C130,0),IF($D130="Per half jaar",IF(MOD(2-$W130,6)=0,$C130,0),IF($D130="Per kwartaal",IF(MOD(2-$W130,3)=0,$C130,0),$F130))))))</f>
        <v/>
      </c>
      <c r="M130" s="107" t="str">
        <f aca="false">IF($C130="","",IF(Dashboard!$C$4="Gemiddeld per maand",$F130,IF(OR($D130="Per maand",$D130="Per week",$D130=""),$F130,IF($D130="Per jaar",IF(3=$W130,$C130,0),IF($D130="Per half jaar",IF(MOD(3-$W130,6)=0,$C130,0),IF($D130="Per kwartaal",IF(MOD(3-$W130,3)=0,$C130,0),$F130))))))</f>
        <v/>
      </c>
      <c r="N130" s="107" t="str">
        <f aca="false">IF($C130="","",IF(Dashboard!$C$4="Gemiddeld per maand",$F130,IF(OR($D130="Per maand",$D130="Per week",$D130=""),$F130,IF($D130="Per jaar",IF(4=$W130,$C130,0),IF($D130="Per half jaar",IF(MOD(4-$W130,6)=0,$C130,0),IF($D130="Per kwartaal",IF(MOD(4-$W130,3)=0,$C130,0),$F130))))))</f>
        <v/>
      </c>
      <c r="O130" s="107" t="str">
        <f aca="false">IF($C130="","",IF(Dashboard!$C$4="Gemiddeld per maand",$F130,IF(OR($D130="Per maand",$D130="Per week",$D130=""),$F130,IF($D130="Per jaar",IF(5=$W130,$C130,0),IF($D130="Per half jaar",IF(MOD(5-$W130,6)=0,$C130,0),IF($D130="Per kwartaal",IF(MOD(5-$W130,3)=0,$C130,0),$F130))))))</f>
        <v/>
      </c>
      <c r="P130" s="107" t="str">
        <f aca="false">IF($C130="","",IF(Dashboard!$C$4="Gemiddeld per maand",$F130,IF(OR($D130="Per maand",$D130="Per week",$D130=""),$F130,IF($D130="Per jaar",IF(6=$W130,$C130,0),IF($D130="Per half jaar",IF(MOD(6-$W130,6)=0,$C130,0),IF($D130="Per kwartaal",IF(MOD(6-$W130,3)=0,$C130,0),$F130))))))</f>
        <v/>
      </c>
      <c r="Q130" s="107" t="str">
        <f aca="false">IF($C130="","",IF(Dashboard!$C$4="Gemiddeld per maand",$F130,IF(OR($D130="Per maand",$D130="Per week",$D130=""),$F130,IF($D130="Per jaar",IF(7=$W130,$C130,0),IF($D130="Per half jaar",IF(MOD(7-$W130,6)=0,$C130,0),IF($D130="Per kwartaal",IF(MOD(7-$W130,3)=0,$C130,0),$F130))))))</f>
        <v/>
      </c>
      <c r="R130" s="107" t="str">
        <f aca="false">IF($C130="","",IF(Dashboard!$C$4="Gemiddeld per maand",$F130,IF(OR($D130="Per maand",$D130="Per week",$D130=""),$F130,IF($D130="Per jaar",IF(8=$W130,$C130,0),IF($D130="Per half jaar",IF(MOD(8-$W130,6)=0,$C130,0),IF($D130="Per kwartaal",IF(MOD(8-$W130,3)=0,$C130,0),$F130))))))</f>
        <v/>
      </c>
      <c r="S130" s="107" t="str">
        <f aca="false">IF($C130="","",IF(Dashboard!$C$4="Gemiddeld per maand",$F130,IF(OR($D130="Per maand",$D130="Per week",$D130=""),$F130,IF($D130="Per jaar",IF(9=$W130,$C130,0),IF($D130="Per half jaar",IF(MOD(9-$W130,6)=0,$C130,0),IF($D130="Per kwartaal",IF(MOD(9-$W130,3)=0,$C130,0),$F130))))))</f>
        <v/>
      </c>
      <c r="T130" s="107" t="str">
        <f aca="false">IF($C130="","",IF(Dashboard!$C$4="Gemiddeld per maand",$F130,IF(OR($D130="Per maand",$D130="Per week",$D130=""),$F130,IF($D130="Per jaar",IF(10=$W130,$C130,0),IF($D130="Per half jaar",IF(MOD(10-$W130,6)=0,$C130,0),IF($D130="Per kwartaal",IF(MOD(10-$W130,3)=0,$C130,0),$F130))))))</f>
        <v/>
      </c>
      <c r="U130" s="107" t="str">
        <f aca="false">IF($C130="","",IF(Dashboard!$C$4="Gemiddeld per maand",$F130,IF(OR($D130="Per maand",$D130="Per week",$D130=""),$F130,IF($D130="Per jaar",IF(11=$W130,$C130,0),IF($D130="Per half jaar",IF(MOD(11-$W130,6)=0,$C130,0),IF($D130="Per kwartaal",IF(MOD(11-$W130,3)=0,$C130,0),$F130))))))</f>
        <v/>
      </c>
      <c r="V130" s="107" t="str">
        <f aca="false">IF($C130="","",IF(Dashboard!$C$4="Gemiddeld per maand",$F130,IF(OR($D130="Per maand",$D130="Per week",$D130=""),$F130,IF($D130="Per jaar",IF(12=$W130,$C130,0),IF($D130="Per half jaar",IF(MOD(12-$W130,6)=0,$C130,0),IF($D130="Per kwartaal",IF(MOD(12-$W130,3)=0,$C130,0),$F130))))))</f>
        <v/>
      </c>
      <c r="W130" s="15" t="n">
        <f aca="false">IF($E130="",1,IFERROR(MATCH($E130,Lijsten!$K$6:$K$17,0),1))</f>
        <v>1</v>
      </c>
    </row>
    <row r="131" customFormat="false" ht="15" hidden="false" customHeight="false" outlineLevel="0" collapsed="false">
      <c r="A131" s="102"/>
      <c r="B131" s="102"/>
      <c r="C131" s="92"/>
      <c r="D131" s="102"/>
      <c r="E131" s="103"/>
      <c r="F131" s="104" t="str">
        <f aca="false">IF($C131="","",IF($D131="Per jaar",$C131/12,IF($D131="Per kwartaal",$C131/3,IF($D131="Per half jaar",$C131/6,IF($D131="Per week",$C131*52/12,$C131)))))</f>
        <v/>
      </c>
      <c r="G131" s="102"/>
      <c r="H131" s="103"/>
      <c r="I131" s="105"/>
      <c r="J131" s="106" t="str">
        <f aca="false">IF($C131="","",IF(Dashboard!$C$4="Gemiddeld per maand",$F131,IF(OR($D131="Per maand",$D131="Per week",$D131=""),$F131,IF($D131="Per jaar",IF(Dashboard!$N$2=$W131,$C131,0),IF($D131="Per half jaar",IF(MOD(Dashboard!$N$2-$W131,6)=0,$C131,0),IF($D131="Per kwartaal",IF(MOD(Dashboard!$N$2-$W131,3)=0,$C131,0),$F131))))))</f>
        <v/>
      </c>
      <c r="K131" s="107" t="str">
        <f aca="false">IF($C131="","",IF(Dashboard!$C$4="Gemiddeld per maand",$F131,IF(OR($D131="Per maand",$D131="Per week",$D131=""),$F131,IF($D131="Per jaar",IF(1=$W131,$C131,0),IF($D131="Per half jaar",IF(MOD(1-$W131,6)=0,$C131,0),IF($D131="Per kwartaal",IF(MOD(1-$W131,3)=0,$C131,0),$F131))))))</f>
        <v/>
      </c>
      <c r="L131" s="107" t="str">
        <f aca="false">IF($C131="","",IF(Dashboard!$C$4="Gemiddeld per maand",$F131,IF(OR($D131="Per maand",$D131="Per week",$D131=""),$F131,IF($D131="Per jaar",IF(2=$W131,$C131,0),IF($D131="Per half jaar",IF(MOD(2-$W131,6)=0,$C131,0),IF($D131="Per kwartaal",IF(MOD(2-$W131,3)=0,$C131,0),$F131))))))</f>
        <v/>
      </c>
      <c r="M131" s="107" t="str">
        <f aca="false">IF($C131="","",IF(Dashboard!$C$4="Gemiddeld per maand",$F131,IF(OR($D131="Per maand",$D131="Per week",$D131=""),$F131,IF($D131="Per jaar",IF(3=$W131,$C131,0),IF($D131="Per half jaar",IF(MOD(3-$W131,6)=0,$C131,0),IF($D131="Per kwartaal",IF(MOD(3-$W131,3)=0,$C131,0),$F131))))))</f>
        <v/>
      </c>
      <c r="N131" s="107" t="str">
        <f aca="false">IF($C131="","",IF(Dashboard!$C$4="Gemiddeld per maand",$F131,IF(OR($D131="Per maand",$D131="Per week",$D131=""),$F131,IF($D131="Per jaar",IF(4=$W131,$C131,0),IF($D131="Per half jaar",IF(MOD(4-$W131,6)=0,$C131,0),IF($D131="Per kwartaal",IF(MOD(4-$W131,3)=0,$C131,0),$F131))))))</f>
        <v/>
      </c>
      <c r="O131" s="107" t="str">
        <f aca="false">IF($C131="","",IF(Dashboard!$C$4="Gemiddeld per maand",$F131,IF(OR($D131="Per maand",$D131="Per week",$D131=""),$F131,IF($D131="Per jaar",IF(5=$W131,$C131,0),IF($D131="Per half jaar",IF(MOD(5-$W131,6)=0,$C131,0),IF($D131="Per kwartaal",IF(MOD(5-$W131,3)=0,$C131,0),$F131))))))</f>
        <v/>
      </c>
      <c r="P131" s="107" t="str">
        <f aca="false">IF($C131="","",IF(Dashboard!$C$4="Gemiddeld per maand",$F131,IF(OR($D131="Per maand",$D131="Per week",$D131=""),$F131,IF($D131="Per jaar",IF(6=$W131,$C131,0),IF($D131="Per half jaar",IF(MOD(6-$W131,6)=0,$C131,0),IF($D131="Per kwartaal",IF(MOD(6-$W131,3)=0,$C131,0),$F131))))))</f>
        <v/>
      </c>
      <c r="Q131" s="107" t="str">
        <f aca="false">IF($C131="","",IF(Dashboard!$C$4="Gemiddeld per maand",$F131,IF(OR($D131="Per maand",$D131="Per week",$D131=""),$F131,IF($D131="Per jaar",IF(7=$W131,$C131,0),IF($D131="Per half jaar",IF(MOD(7-$W131,6)=0,$C131,0),IF($D131="Per kwartaal",IF(MOD(7-$W131,3)=0,$C131,0),$F131))))))</f>
        <v/>
      </c>
      <c r="R131" s="107" t="str">
        <f aca="false">IF($C131="","",IF(Dashboard!$C$4="Gemiddeld per maand",$F131,IF(OR($D131="Per maand",$D131="Per week",$D131=""),$F131,IF($D131="Per jaar",IF(8=$W131,$C131,0),IF($D131="Per half jaar",IF(MOD(8-$W131,6)=0,$C131,0),IF($D131="Per kwartaal",IF(MOD(8-$W131,3)=0,$C131,0),$F131))))))</f>
        <v/>
      </c>
      <c r="S131" s="107" t="str">
        <f aca="false">IF($C131="","",IF(Dashboard!$C$4="Gemiddeld per maand",$F131,IF(OR($D131="Per maand",$D131="Per week",$D131=""),$F131,IF($D131="Per jaar",IF(9=$W131,$C131,0),IF($D131="Per half jaar",IF(MOD(9-$W131,6)=0,$C131,0),IF($D131="Per kwartaal",IF(MOD(9-$W131,3)=0,$C131,0),$F131))))))</f>
        <v/>
      </c>
      <c r="T131" s="107" t="str">
        <f aca="false">IF($C131="","",IF(Dashboard!$C$4="Gemiddeld per maand",$F131,IF(OR($D131="Per maand",$D131="Per week",$D131=""),$F131,IF($D131="Per jaar",IF(10=$W131,$C131,0),IF($D131="Per half jaar",IF(MOD(10-$W131,6)=0,$C131,0),IF($D131="Per kwartaal",IF(MOD(10-$W131,3)=0,$C131,0),$F131))))))</f>
        <v/>
      </c>
      <c r="U131" s="107" t="str">
        <f aca="false">IF($C131="","",IF(Dashboard!$C$4="Gemiddeld per maand",$F131,IF(OR($D131="Per maand",$D131="Per week",$D131=""),$F131,IF($D131="Per jaar",IF(11=$W131,$C131,0),IF($D131="Per half jaar",IF(MOD(11-$W131,6)=0,$C131,0),IF($D131="Per kwartaal",IF(MOD(11-$W131,3)=0,$C131,0),$F131))))))</f>
        <v/>
      </c>
      <c r="V131" s="107" t="str">
        <f aca="false">IF($C131="","",IF(Dashboard!$C$4="Gemiddeld per maand",$F131,IF(OR($D131="Per maand",$D131="Per week",$D131=""),$F131,IF($D131="Per jaar",IF(12=$W131,$C131,0),IF($D131="Per half jaar",IF(MOD(12-$W131,6)=0,$C131,0),IF($D131="Per kwartaal",IF(MOD(12-$W131,3)=0,$C131,0),$F131))))))</f>
        <v/>
      </c>
      <c r="W131" s="15" t="n">
        <f aca="false">IF($E131="",1,IFERROR(MATCH($E131,Lijsten!$K$6:$K$17,0),1))</f>
        <v>1</v>
      </c>
    </row>
    <row r="132" customFormat="false" ht="15" hidden="false" customHeight="false" outlineLevel="0" collapsed="false">
      <c r="A132" s="102"/>
      <c r="B132" s="102"/>
      <c r="C132" s="92"/>
      <c r="D132" s="102"/>
      <c r="E132" s="103"/>
      <c r="F132" s="104" t="str">
        <f aca="false">IF($C132="","",IF($D132="Per jaar",$C132/12,IF($D132="Per kwartaal",$C132/3,IF($D132="Per half jaar",$C132/6,IF($D132="Per week",$C132*52/12,$C132)))))</f>
        <v/>
      </c>
      <c r="G132" s="102"/>
      <c r="H132" s="103"/>
      <c r="I132" s="105"/>
      <c r="J132" s="106" t="str">
        <f aca="false">IF($C132="","",IF(Dashboard!$C$4="Gemiddeld per maand",$F132,IF(OR($D132="Per maand",$D132="Per week",$D132=""),$F132,IF($D132="Per jaar",IF(Dashboard!$N$2=$W132,$C132,0),IF($D132="Per half jaar",IF(MOD(Dashboard!$N$2-$W132,6)=0,$C132,0),IF($D132="Per kwartaal",IF(MOD(Dashboard!$N$2-$W132,3)=0,$C132,0),$F132))))))</f>
        <v/>
      </c>
      <c r="K132" s="107" t="str">
        <f aca="false">IF($C132="","",IF(Dashboard!$C$4="Gemiddeld per maand",$F132,IF(OR($D132="Per maand",$D132="Per week",$D132=""),$F132,IF($D132="Per jaar",IF(1=$W132,$C132,0),IF($D132="Per half jaar",IF(MOD(1-$W132,6)=0,$C132,0),IF($D132="Per kwartaal",IF(MOD(1-$W132,3)=0,$C132,0),$F132))))))</f>
        <v/>
      </c>
      <c r="L132" s="107" t="str">
        <f aca="false">IF($C132="","",IF(Dashboard!$C$4="Gemiddeld per maand",$F132,IF(OR($D132="Per maand",$D132="Per week",$D132=""),$F132,IF($D132="Per jaar",IF(2=$W132,$C132,0),IF($D132="Per half jaar",IF(MOD(2-$W132,6)=0,$C132,0),IF($D132="Per kwartaal",IF(MOD(2-$W132,3)=0,$C132,0),$F132))))))</f>
        <v/>
      </c>
      <c r="M132" s="107" t="str">
        <f aca="false">IF($C132="","",IF(Dashboard!$C$4="Gemiddeld per maand",$F132,IF(OR($D132="Per maand",$D132="Per week",$D132=""),$F132,IF($D132="Per jaar",IF(3=$W132,$C132,0),IF($D132="Per half jaar",IF(MOD(3-$W132,6)=0,$C132,0),IF($D132="Per kwartaal",IF(MOD(3-$W132,3)=0,$C132,0),$F132))))))</f>
        <v/>
      </c>
      <c r="N132" s="107" t="str">
        <f aca="false">IF($C132="","",IF(Dashboard!$C$4="Gemiddeld per maand",$F132,IF(OR($D132="Per maand",$D132="Per week",$D132=""),$F132,IF($D132="Per jaar",IF(4=$W132,$C132,0),IF($D132="Per half jaar",IF(MOD(4-$W132,6)=0,$C132,0),IF($D132="Per kwartaal",IF(MOD(4-$W132,3)=0,$C132,0),$F132))))))</f>
        <v/>
      </c>
      <c r="O132" s="107" t="str">
        <f aca="false">IF($C132="","",IF(Dashboard!$C$4="Gemiddeld per maand",$F132,IF(OR($D132="Per maand",$D132="Per week",$D132=""),$F132,IF($D132="Per jaar",IF(5=$W132,$C132,0),IF($D132="Per half jaar",IF(MOD(5-$W132,6)=0,$C132,0),IF($D132="Per kwartaal",IF(MOD(5-$W132,3)=0,$C132,0),$F132))))))</f>
        <v/>
      </c>
      <c r="P132" s="107" t="str">
        <f aca="false">IF($C132="","",IF(Dashboard!$C$4="Gemiddeld per maand",$F132,IF(OR($D132="Per maand",$D132="Per week",$D132=""),$F132,IF($D132="Per jaar",IF(6=$W132,$C132,0),IF($D132="Per half jaar",IF(MOD(6-$W132,6)=0,$C132,0),IF($D132="Per kwartaal",IF(MOD(6-$W132,3)=0,$C132,0),$F132))))))</f>
        <v/>
      </c>
      <c r="Q132" s="107" t="str">
        <f aca="false">IF($C132="","",IF(Dashboard!$C$4="Gemiddeld per maand",$F132,IF(OR($D132="Per maand",$D132="Per week",$D132=""),$F132,IF($D132="Per jaar",IF(7=$W132,$C132,0),IF($D132="Per half jaar",IF(MOD(7-$W132,6)=0,$C132,0),IF($D132="Per kwartaal",IF(MOD(7-$W132,3)=0,$C132,0),$F132))))))</f>
        <v/>
      </c>
      <c r="R132" s="107" t="str">
        <f aca="false">IF($C132="","",IF(Dashboard!$C$4="Gemiddeld per maand",$F132,IF(OR($D132="Per maand",$D132="Per week",$D132=""),$F132,IF($D132="Per jaar",IF(8=$W132,$C132,0),IF($D132="Per half jaar",IF(MOD(8-$W132,6)=0,$C132,0),IF($D132="Per kwartaal",IF(MOD(8-$W132,3)=0,$C132,0),$F132))))))</f>
        <v/>
      </c>
      <c r="S132" s="107" t="str">
        <f aca="false">IF($C132="","",IF(Dashboard!$C$4="Gemiddeld per maand",$F132,IF(OR($D132="Per maand",$D132="Per week",$D132=""),$F132,IF($D132="Per jaar",IF(9=$W132,$C132,0),IF($D132="Per half jaar",IF(MOD(9-$W132,6)=0,$C132,0),IF($D132="Per kwartaal",IF(MOD(9-$W132,3)=0,$C132,0),$F132))))))</f>
        <v/>
      </c>
      <c r="T132" s="107" t="str">
        <f aca="false">IF($C132="","",IF(Dashboard!$C$4="Gemiddeld per maand",$F132,IF(OR($D132="Per maand",$D132="Per week",$D132=""),$F132,IF($D132="Per jaar",IF(10=$W132,$C132,0),IF($D132="Per half jaar",IF(MOD(10-$W132,6)=0,$C132,0),IF($D132="Per kwartaal",IF(MOD(10-$W132,3)=0,$C132,0),$F132))))))</f>
        <v/>
      </c>
      <c r="U132" s="107" t="str">
        <f aca="false">IF($C132="","",IF(Dashboard!$C$4="Gemiddeld per maand",$F132,IF(OR($D132="Per maand",$D132="Per week",$D132=""),$F132,IF($D132="Per jaar",IF(11=$W132,$C132,0),IF($D132="Per half jaar",IF(MOD(11-$W132,6)=0,$C132,0),IF($D132="Per kwartaal",IF(MOD(11-$W132,3)=0,$C132,0),$F132))))))</f>
        <v/>
      </c>
      <c r="V132" s="107" t="str">
        <f aca="false">IF($C132="","",IF(Dashboard!$C$4="Gemiddeld per maand",$F132,IF(OR($D132="Per maand",$D132="Per week",$D132=""),$F132,IF($D132="Per jaar",IF(12=$W132,$C132,0),IF($D132="Per half jaar",IF(MOD(12-$W132,6)=0,$C132,0),IF($D132="Per kwartaal",IF(MOD(12-$W132,3)=0,$C132,0),$F132))))))</f>
        <v/>
      </c>
      <c r="W132" s="15" t="n">
        <f aca="false">IF($E132="",1,IFERROR(MATCH($E132,Lijsten!$K$6:$K$17,0),1))</f>
        <v>1</v>
      </c>
    </row>
    <row r="133" customFormat="false" ht="15" hidden="false" customHeight="false" outlineLevel="0" collapsed="false">
      <c r="A133" s="102"/>
      <c r="B133" s="102"/>
      <c r="C133" s="92"/>
      <c r="D133" s="102"/>
      <c r="E133" s="103"/>
      <c r="F133" s="104" t="str">
        <f aca="false">IF($C133="","",IF($D133="Per jaar",$C133/12,IF($D133="Per kwartaal",$C133/3,IF($D133="Per half jaar",$C133/6,IF($D133="Per week",$C133*52/12,$C133)))))</f>
        <v/>
      </c>
      <c r="G133" s="102"/>
      <c r="H133" s="103"/>
      <c r="I133" s="105"/>
      <c r="J133" s="106" t="str">
        <f aca="false">IF($C133="","",IF(Dashboard!$C$4="Gemiddeld per maand",$F133,IF(OR($D133="Per maand",$D133="Per week",$D133=""),$F133,IF($D133="Per jaar",IF(Dashboard!$N$2=$W133,$C133,0),IF($D133="Per half jaar",IF(MOD(Dashboard!$N$2-$W133,6)=0,$C133,0),IF($D133="Per kwartaal",IF(MOD(Dashboard!$N$2-$W133,3)=0,$C133,0),$F133))))))</f>
        <v/>
      </c>
      <c r="K133" s="107" t="str">
        <f aca="false">IF($C133="","",IF(Dashboard!$C$4="Gemiddeld per maand",$F133,IF(OR($D133="Per maand",$D133="Per week",$D133=""),$F133,IF($D133="Per jaar",IF(1=$W133,$C133,0),IF($D133="Per half jaar",IF(MOD(1-$W133,6)=0,$C133,0),IF($D133="Per kwartaal",IF(MOD(1-$W133,3)=0,$C133,0),$F133))))))</f>
        <v/>
      </c>
      <c r="L133" s="107" t="str">
        <f aca="false">IF($C133="","",IF(Dashboard!$C$4="Gemiddeld per maand",$F133,IF(OR($D133="Per maand",$D133="Per week",$D133=""),$F133,IF($D133="Per jaar",IF(2=$W133,$C133,0),IF($D133="Per half jaar",IF(MOD(2-$W133,6)=0,$C133,0),IF($D133="Per kwartaal",IF(MOD(2-$W133,3)=0,$C133,0),$F133))))))</f>
        <v/>
      </c>
      <c r="M133" s="107" t="str">
        <f aca="false">IF($C133="","",IF(Dashboard!$C$4="Gemiddeld per maand",$F133,IF(OR($D133="Per maand",$D133="Per week",$D133=""),$F133,IF($D133="Per jaar",IF(3=$W133,$C133,0),IF($D133="Per half jaar",IF(MOD(3-$W133,6)=0,$C133,0),IF($D133="Per kwartaal",IF(MOD(3-$W133,3)=0,$C133,0),$F133))))))</f>
        <v/>
      </c>
      <c r="N133" s="107" t="str">
        <f aca="false">IF($C133="","",IF(Dashboard!$C$4="Gemiddeld per maand",$F133,IF(OR($D133="Per maand",$D133="Per week",$D133=""),$F133,IF($D133="Per jaar",IF(4=$W133,$C133,0),IF($D133="Per half jaar",IF(MOD(4-$W133,6)=0,$C133,0),IF($D133="Per kwartaal",IF(MOD(4-$W133,3)=0,$C133,0),$F133))))))</f>
        <v/>
      </c>
      <c r="O133" s="107" t="str">
        <f aca="false">IF($C133="","",IF(Dashboard!$C$4="Gemiddeld per maand",$F133,IF(OR($D133="Per maand",$D133="Per week",$D133=""),$F133,IF($D133="Per jaar",IF(5=$W133,$C133,0),IF($D133="Per half jaar",IF(MOD(5-$W133,6)=0,$C133,0),IF($D133="Per kwartaal",IF(MOD(5-$W133,3)=0,$C133,0),$F133))))))</f>
        <v/>
      </c>
      <c r="P133" s="107" t="str">
        <f aca="false">IF($C133="","",IF(Dashboard!$C$4="Gemiddeld per maand",$F133,IF(OR($D133="Per maand",$D133="Per week",$D133=""),$F133,IF($D133="Per jaar",IF(6=$W133,$C133,0),IF($D133="Per half jaar",IF(MOD(6-$W133,6)=0,$C133,0),IF($D133="Per kwartaal",IF(MOD(6-$W133,3)=0,$C133,0),$F133))))))</f>
        <v/>
      </c>
      <c r="Q133" s="107" t="str">
        <f aca="false">IF($C133="","",IF(Dashboard!$C$4="Gemiddeld per maand",$F133,IF(OR($D133="Per maand",$D133="Per week",$D133=""),$F133,IF($D133="Per jaar",IF(7=$W133,$C133,0),IF($D133="Per half jaar",IF(MOD(7-$W133,6)=0,$C133,0),IF($D133="Per kwartaal",IF(MOD(7-$W133,3)=0,$C133,0),$F133))))))</f>
        <v/>
      </c>
      <c r="R133" s="107" t="str">
        <f aca="false">IF($C133="","",IF(Dashboard!$C$4="Gemiddeld per maand",$F133,IF(OR($D133="Per maand",$D133="Per week",$D133=""),$F133,IF($D133="Per jaar",IF(8=$W133,$C133,0),IF($D133="Per half jaar",IF(MOD(8-$W133,6)=0,$C133,0),IF($D133="Per kwartaal",IF(MOD(8-$W133,3)=0,$C133,0),$F133))))))</f>
        <v/>
      </c>
      <c r="S133" s="107" t="str">
        <f aca="false">IF($C133="","",IF(Dashboard!$C$4="Gemiddeld per maand",$F133,IF(OR($D133="Per maand",$D133="Per week",$D133=""),$F133,IF($D133="Per jaar",IF(9=$W133,$C133,0),IF($D133="Per half jaar",IF(MOD(9-$W133,6)=0,$C133,0),IF($D133="Per kwartaal",IF(MOD(9-$W133,3)=0,$C133,0),$F133))))))</f>
        <v/>
      </c>
      <c r="T133" s="107" t="str">
        <f aca="false">IF($C133="","",IF(Dashboard!$C$4="Gemiddeld per maand",$F133,IF(OR($D133="Per maand",$D133="Per week",$D133=""),$F133,IF($D133="Per jaar",IF(10=$W133,$C133,0),IF($D133="Per half jaar",IF(MOD(10-$W133,6)=0,$C133,0),IF($D133="Per kwartaal",IF(MOD(10-$W133,3)=0,$C133,0),$F133))))))</f>
        <v/>
      </c>
      <c r="U133" s="107" t="str">
        <f aca="false">IF($C133="","",IF(Dashboard!$C$4="Gemiddeld per maand",$F133,IF(OR($D133="Per maand",$D133="Per week",$D133=""),$F133,IF($D133="Per jaar",IF(11=$W133,$C133,0),IF($D133="Per half jaar",IF(MOD(11-$W133,6)=0,$C133,0),IF($D133="Per kwartaal",IF(MOD(11-$W133,3)=0,$C133,0),$F133))))))</f>
        <v/>
      </c>
      <c r="V133" s="107" t="str">
        <f aca="false">IF($C133="","",IF(Dashboard!$C$4="Gemiddeld per maand",$F133,IF(OR($D133="Per maand",$D133="Per week",$D133=""),$F133,IF($D133="Per jaar",IF(12=$W133,$C133,0),IF($D133="Per half jaar",IF(MOD(12-$W133,6)=0,$C133,0),IF($D133="Per kwartaal",IF(MOD(12-$W133,3)=0,$C133,0),$F133))))))</f>
        <v/>
      </c>
      <c r="W133" s="15" t="n">
        <f aca="false">IF($E133="",1,IFERROR(MATCH($E133,Lijsten!$K$6:$K$17,0),1))</f>
        <v>1</v>
      </c>
    </row>
    <row r="134" customFormat="false" ht="15" hidden="false" customHeight="false" outlineLevel="0" collapsed="false">
      <c r="A134" s="102"/>
      <c r="B134" s="102"/>
      <c r="C134" s="92"/>
      <c r="D134" s="102"/>
      <c r="E134" s="103"/>
      <c r="F134" s="104" t="str">
        <f aca="false">IF($C134="","",IF($D134="Per jaar",$C134/12,IF($D134="Per kwartaal",$C134/3,IF($D134="Per half jaar",$C134/6,IF($D134="Per week",$C134*52/12,$C134)))))</f>
        <v/>
      </c>
      <c r="G134" s="102"/>
      <c r="H134" s="103"/>
      <c r="I134" s="105"/>
      <c r="J134" s="106" t="str">
        <f aca="false">IF($C134="","",IF(Dashboard!$C$4="Gemiddeld per maand",$F134,IF(OR($D134="Per maand",$D134="Per week",$D134=""),$F134,IF($D134="Per jaar",IF(Dashboard!$N$2=$W134,$C134,0),IF($D134="Per half jaar",IF(MOD(Dashboard!$N$2-$W134,6)=0,$C134,0),IF($D134="Per kwartaal",IF(MOD(Dashboard!$N$2-$W134,3)=0,$C134,0),$F134))))))</f>
        <v/>
      </c>
      <c r="K134" s="107" t="str">
        <f aca="false">IF($C134="","",IF(Dashboard!$C$4="Gemiddeld per maand",$F134,IF(OR($D134="Per maand",$D134="Per week",$D134=""),$F134,IF($D134="Per jaar",IF(1=$W134,$C134,0),IF($D134="Per half jaar",IF(MOD(1-$W134,6)=0,$C134,0),IF($D134="Per kwartaal",IF(MOD(1-$W134,3)=0,$C134,0),$F134))))))</f>
        <v/>
      </c>
      <c r="L134" s="107" t="str">
        <f aca="false">IF($C134="","",IF(Dashboard!$C$4="Gemiddeld per maand",$F134,IF(OR($D134="Per maand",$D134="Per week",$D134=""),$F134,IF($D134="Per jaar",IF(2=$W134,$C134,0),IF($D134="Per half jaar",IF(MOD(2-$W134,6)=0,$C134,0),IF($D134="Per kwartaal",IF(MOD(2-$W134,3)=0,$C134,0),$F134))))))</f>
        <v/>
      </c>
      <c r="M134" s="107" t="str">
        <f aca="false">IF($C134="","",IF(Dashboard!$C$4="Gemiddeld per maand",$F134,IF(OR($D134="Per maand",$D134="Per week",$D134=""),$F134,IF($D134="Per jaar",IF(3=$W134,$C134,0),IF($D134="Per half jaar",IF(MOD(3-$W134,6)=0,$C134,0),IF($D134="Per kwartaal",IF(MOD(3-$W134,3)=0,$C134,0),$F134))))))</f>
        <v/>
      </c>
      <c r="N134" s="107" t="str">
        <f aca="false">IF($C134="","",IF(Dashboard!$C$4="Gemiddeld per maand",$F134,IF(OR($D134="Per maand",$D134="Per week",$D134=""),$F134,IF($D134="Per jaar",IF(4=$W134,$C134,0),IF($D134="Per half jaar",IF(MOD(4-$W134,6)=0,$C134,0),IF($D134="Per kwartaal",IF(MOD(4-$W134,3)=0,$C134,0),$F134))))))</f>
        <v/>
      </c>
      <c r="O134" s="107" t="str">
        <f aca="false">IF($C134="","",IF(Dashboard!$C$4="Gemiddeld per maand",$F134,IF(OR($D134="Per maand",$D134="Per week",$D134=""),$F134,IF($D134="Per jaar",IF(5=$W134,$C134,0),IF($D134="Per half jaar",IF(MOD(5-$W134,6)=0,$C134,0),IF($D134="Per kwartaal",IF(MOD(5-$W134,3)=0,$C134,0),$F134))))))</f>
        <v/>
      </c>
      <c r="P134" s="107" t="str">
        <f aca="false">IF($C134="","",IF(Dashboard!$C$4="Gemiddeld per maand",$F134,IF(OR($D134="Per maand",$D134="Per week",$D134=""),$F134,IF($D134="Per jaar",IF(6=$W134,$C134,0),IF($D134="Per half jaar",IF(MOD(6-$W134,6)=0,$C134,0),IF($D134="Per kwartaal",IF(MOD(6-$W134,3)=0,$C134,0),$F134))))))</f>
        <v/>
      </c>
      <c r="Q134" s="107" t="str">
        <f aca="false">IF($C134="","",IF(Dashboard!$C$4="Gemiddeld per maand",$F134,IF(OR($D134="Per maand",$D134="Per week",$D134=""),$F134,IF($D134="Per jaar",IF(7=$W134,$C134,0),IF($D134="Per half jaar",IF(MOD(7-$W134,6)=0,$C134,0),IF($D134="Per kwartaal",IF(MOD(7-$W134,3)=0,$C134,0),$F134))))))</f>
        <v/>
      </c>
      <c r="R134" s="107" t="str">
        <f aca="false">IF($C134="","",IF(Dashboard!$C$4="Gemiddeld per maand",$F134,IF(OR($D134="Per maand",$D134="Per week",$D134=""),$F134,IF($D134="Per jaar",IF(8=$W134,$C134,0),IF($D134="Per half jaar",IF(MOD(8-$W134,6)=0,$C134,0),IF($D134="Per kwartaal",IF(MOD(8-$W134,3)=0,$C134,0),$F134))))))</f>
        <v/>
      </c>
      <c r="S134" s="107" t="str">
        <f aca="false">IF($C134="","",IF(Dashboard!$C$4="Gemiddeld per maand",$F134,IF(OR($D134="Per maand",$D134="Per week",$D134=""),$F134,IF($D134="Per jaar",IF(9=$W134,$C134,0),IF($D134="Per half jaar",IF(MOD(9-$W134,6)=0,$C134,0),IF($D134="Per kwartaal",IF(MOD(9-$W134,3)=0,$C134,0),$F134))))))</f>
        <v/>
      </c>
      <c r="T134" s="107" t="str">
        <f aca="false">IF($C134="","",IF(Dashboard!$C$4="Gemiddeld per maand",$F134,IF(OR($D134="Per maand",$D134="Per week",$D134=""),$F134,IF($D134="Per jaar",IF(10=$W134,$C134,0),IF($D134="Per half jaar",IF(MOD(10-$W134,6)=0,$C134,0),IF($D134="Per kwartaal",IF(MOD(10-$W134,3)=0,$C134,0),$F134))))))</f>
        <v/>
      </c>
      <c r="U134" s="107" t="str">
        <f aca="false">IF($C134="","",IF(Dashboard!$C$4="Gemiddeld per maand",$F134,IF(OR($D134="Per maand",$D134="Per week",$D134=""),$F134,IF($D134="Per jaar",IF(11=$W134,$C134,0),IF($D134="Per half jaar",IF(MOD(11-$W134,6)=0,$C134,0),IF($D134="Per kwartaal",IF(MOD(11-$W134,3)=0,$C134,0),$F134))))))</f>
        <v/>
      </c>
      <c r="V134" s="107" t="str">
        <f aca="false">IF($C134="","",IF(Dashboard!$C$4="Gemiddeld per maand",$F134,IF(OR($D134="Per maand",$D134="Per week",$D134=""),$F134,IF($D134="Per jaar",IF(12=$W134,$C134,0),IF($D134="Per half jaar",IF(MOD(12-$W134,6)=0,$C134,0),IF($D134="Per kwartaal",IF(MOD(12-$W134,3)=0,$C134,0),$F134))))))</f>
        <v/>
      </c>
      <c r="W134" s="15" t="n">
        <f aca="false">IF($E134="",1,IFERROR(MATCH($E134,Lijsten!$K$6:$K$17,0),1))</f>
        <v>1</v>
      </c>
    </row>
    <row r="135" customFormat="false" ht="15" hidden="false" customHeight="false" outlineLevel="0" collapsed="false">
      <c r="A135" s="102"/>
      <c r="B135" s="102"/>
      <c r="C135" s="92"/>
      <c r="D135" s="102"/>
      <c r="E135" s="103"/>
      <c r="F135" s="104" t="str">
        <f aca="false">IF($C135="","",IF($D135="Per jaar",$C135/12,IF($D135="Per kwartaal",$C135/3,IF($D135="Per half jaar",$C135/6,IF($D135="Per week",$C135*52/12,$C135)))))</f>
        <v/>
      </c>
      <c r="G135" s="102"/>
      <c r="H135" s="103"/>
      <c r="I135" s="105"/>
      <c r="J135" s="106" t="str">
        <f aca="false">IF($C135="","",IF(Dashboard!$C$4="Gemiddeld per maand",$F135,IF(OR($D135="Per maand",$D135="Per week",$D135=""),$F135,IF($D135="Per jaar",IF(Dashboard!$N$2=$W135,$C135,0),IF($D135="Per half jaar",IF(MOD(Dashboard!$N$2-$W135,6)=0,$C135,0),IF($D135="Per kwartaal",IF(MOD(Dashboard!$N$2-$W135,3)=0,$C135,0),$F135))))))</f>
        <v/>
      </c>
      <c r="K135" s="107" t="str">
        <f aca="false">IF($C135="","",IF(Dashboard!$C$4="Gemiddeld per maand",$F135,IF(OR($D135="Per maand",$D135="Per week",$D135=""),$F135,IF($D135="Per jaar",IF(1=$W135,$C135,0),IF($D135="Per half jaar",IF(MOD(1-$W135,6)=0,$C135,0),IF($D135="Per kwartaal",IF(MOD(1-$W135,3)=0,$C135,0),$F135))))))</f>
        <v/>
      </c>
      <c r="L135" s="107" t="str">
        <f aca="false">IF($C135="","",IF(Dashboard!$C$4="Gemiddeld per maand",$F135,IF(OR($D135="Per maand",$D135="Per week",$D135=""),$F135,IF($D135="Per jaar",IF(2=$W135,$C135,0),IF($D135="Per half jaar",IF(MOD(2-$W135,6)=0,$C135,0),IF($D135="Per kwartaal",IF(MOD(2-$W135,3)=0,$C135,0),$F135))))))</f>
        <v/>
      </c>
      <c r="M135" s="107" t="str">
        <f aca="false">IF($C135="","",IF(Dashboard!$C$4="Gemiddeld per maand",$F135,IF(OR($D135="Per maand",$D135="Per week",$D135=""),$F135,IF($D135="Per jaar",IF(3=$W135,$C135,0),IF($D135="Per half jaar",IF(MOD(3-$W135,6)=0,$C135,0),IF($D135="Per kwartaal",IF(MOD(3-$W135,3)=0,$C135,0),$F135))))))</f>
        <v/>
      </c>
      <c r="N135" s="107" t="str">
        <f aca="false">IF($C135="","",IF(Dashboard!$C$4="Gemiddeld per maand",$F135,IF(OR($D135="Per maand",$D135="Per week",$D135=""),$F135,IF($D135="Per jaar",IF(4=$W135,$C135,0),IF($D135="Per half jaar",IF(MOD(4-$W135,6)=0,$C135,0),IF($D135="Per kwartaal",IF(MOD(4-$W135,3)=0,$C135,0),$F135))))))</f>
        <v/>
      </c>
      <c r="O135" s="107" t="str">
        <f aca="false">IF($C135="","",IF(Dashboard!$C$4="Gemiddeld per maand",$F135,IF(OR($D135="Per maand",$D135="Per week",$D135=""),$F135,IF($D135="Per jaar",IF(5=$W135,$C135,0),IF($D135="Per half jaar",IF(MOD(5-$W135,6)=0,$C135,0),IF($D135="Per kwartaal",IF(MOD(5-$W135,3)=0,$C135,0),$F135))))))</f>
        <v/>
      </c>
      <c r="P135" s="107" t="str">
        <f aca="false">IF($C135="","",IF(Dashboard!$C$4="Gemiddeld per maand",$F135,IF(OR($D135="Per maand",$D135="Per week",$D135=""),$F135,IF($D135="Per jaar",IF(6=$W135,$C135,0),IF($D135="Per half jaar",IF(MOD(6-$W135,6)=0,$C135,0),IF($D135="Per kwartaal",IF(MOD(6-$W135,3)=0,$C135,0),$F135))))))</f>
        <v/>
      </c>
      <c r="Q135" s="107" t="str">
        <f aca="false">IF($C135="","",IF(Dashboard!$C$4="Gemiddeld per maand",$F135,IF(OR($D135="Per maand",$D135="Per week",$D135=""),$F135,IF($D135="Per jaar",IF(7=$W135,$C135,0),IF($D135="Per half jaar",IF(MOD(7-$W135,6)=0,$C135,0),IF($D135="Per kwartaal",IF(MOD(7-$W135,3)=0,$C135,0),$F135))))))</f>
        <v/>
      </c>
      <c r="R135" s="107" t="str">
        <f aca="false">IF($C135="","",IF(Dashboard!$C$4="Gemiddeld per maand",$F135,IF(OR($D135="Per maand",$D135="Per week",$D135=""),$F135,IF($D135="Per jaar",IF(8=$W135,$C135,0),IF($D135="Per half jaar",IF(MOD(8-$W135,6)=0,$C135,0),IF($D135="Per kwartaal",IF(MOD(8-$W135,3)=0,$C135,0),$F135))))))</f>
        <v/>
      </c>
      <c r="S135" s="107" t="str">
        <f aca="false">IF($C135="","",IF(Dashboard!$C$4="Gemiddeld per maand",$F135,IF(OR($D135="Per maand",$D135="Per week",$D135=""),$F135,IF($D135="Per jaar",IF(9=$W135,$C135,0),IF($D135="Per half jaar",IF(MOD(9-$W135,6)=0,$C135,0),IF($D135="Per kwartaal",IF(MOD(9-$W135,3)=0,$C135,0),$F135))))))</f>
        <v/>
      </c>
      <c r="T135" s="107" t="str">
        <f aca="false">IF($C135="","",IF(Dashboard!$C$4="Gemiddeld per maand",$F135,IF(OR($D135="Per maand",$D135="Per week",$D135=""),$F135,IF($D135="Per jaar",IF(10=$W135,$C135,0),IF($D135="Per half jaar",IF(MOD(10-$W135,6)=0,$C135,0),IF($D135="Per kwartaal",IF(MOD(10-$W135,3)=0,$C135,0),$F135))))))</f>
        <v/>
      </c>
      <c r="U135" s="107" t="str">
        <f aca="false">IF($C135="","",IF(Dashboard!$C$4="Gemiddeld per maand",$F135,IF(OR($D135="Per maand",$D135="Per week",$D135=""),$F135,IF($D135="Per jaar",IF(11=$W135,$C135,0),IF($D135="Per half jaar",IF(MOD(11-$W135,6)=0,$C135,0),IF($D135="Per kwartaal",IF(MOD(11-$W135,3)=0,$C135,0),$F135))))))</f>
        <v/>
      </c>
      <c r="V135" s="107" t="str">
        <f aca="false">IF($C135="","",IF(Dashboard!$C$4="Gemiddeld per maand",$F135,IF(OR($D135="Per maand",$D135="Per week",$D135=""),$F135,IF($D135="Per jaar",IF(12=$W135,$C135,0),IF($D135="Per half jaar",IF(MOD(12-$W135,6)=0,$C135,0),IF($D135="Per kwartaal",IF(MOD(12-$W135,3)=0,$C135,0),$F135))))))</f>
        <v/>
      </c>
      <c r="W135" s="15" t="n">
        <f aca="false">IF($E135="",1,IFERROR(MATCH($E135,Lijsten!$K$6:$K$17,0),1))</f>
        <v>1</v>
      </c>
    </row>
    <row r="136" customFormat="false" ht="15" hidden="false" customHeight="false" outlineLevel="0" collapsed="false">
      <c r="A136" s="102"/>
      <c r="B136" s="102"/>
      <c r="C136" s="92"/>
      <c r="D136" s="102"/>
      <c r="E136" s="103"/>
      <c r="F136" s="104" t="str">
        <f aca="false">IF($C136="","",IF($D136="Per jaar",$C136/12,IF($D136="Per kwartaal",$C136/3,IF($D136="Per half jaar",$C136/6,IF($D136="Per week",$C136*52/12,$C136)))))</f>
        <v/>
      </c>
      <c r="G136" s="102"/>
      <c r="H136" s="103"/>
      <c r="I136" s="105"/>
      <c r="J136" s="106" t="str">
        <f aca="false">IF($C136="","",IF(Dashboard!$C$4="Gemiddeld per maand",$F136,IF(OR($D136="Per maand",$D136="Per week",$D136=""),$F136,IF($D136="Per jaar",IF(Dashboard!$N$2=$W136,$C136,0),IF($D136="Per half jaar",IF(MOD(Dashboard!$N$2-$W136,6)=0,$C136,0),IF($D136="Per kwartaal",IF(MOD(Dashboard!$N$2-$W136,3)=0,$C136,0),$F136))))))</f>
        <v/>
      </c>
      <c r="K136" s="107" t="str">
        <f aca="false">IF($C136="","",IF(Dashboard!$C$4="Gemiddeld per maand",$F136,IF(OR($D136="Per maand",$D136="Per week",$D136=""),$F136,IF($D136="Per jaar",IF(1=$W136,$C136,0),IF($D136="Per half jaar",IF(MOD(1-$W136,6)=0,$C136,0),IF($D136="Per kwartaal",IF(MOD(1-$W136,3)=0,$C136,0),$F136))))))</f>
        <v/>
      </c>
      <c r="L136" s="107" t="str">
        <f aca="false">IF($C136="","",IF(Dashboard!$C$4="Gemiddeld per maand",$F136,IF(OR($D136="Per maand",$D136="Per week",$D136=""),$F136,IF($D136="Per jaar",IF(2=$W136,$C136,0),IF($D136="Per half jaar",IF(MOD(2-$W136,6)=0,$C136,0),IF($D136="Per kwartaal",IF(MOD(2-$W136,3)=0,$C136,0),$F136))))))</f>
        <v/>
      </c>
      <c r="M136" s="107" t="str">
        <f aca="false">IF($C136="","",IF(Dashboard!$C$4="Gemiddeld per maand",$F136,IF(OR($D136="Per maand",$D136="Per week",$D136=""),$F136,IF($D136="Per jaar",IF(3=$W136,$C136,0),IF($D136="Per half jaar",IF(MOD(3-$W136,6)=0,$C136,0),IF($D136="Per kwartaal",IF(MOD(3-$W136,3)=0,$C136,0),$F136))))))</f>
        <v/>
      </c>
      <c r="N136" s="107" t="str">
        <f aca="false">IF($C136="","",IF(Dashboard!$C$4="Gemiddeld per maand",$F136,IF(OR($D136="Per maand",$D136="Per week",$D136=""),$F136,IF($D136="Per jaar",IF(4=$W136,$C136,0),IF($D136="Per half jaar",IF(MOD(4-$W136,6)=0,$C136,0),IF($D136="Per kwartaal",IF(MOD(4-$W136,3)=0,$C136,0),$F136))))))</f>
        <v/>
      </c>
      <c r="O136" s="107" t="str">
        <f aca="false">IF($C136="","",IF(Dashboard!$C$4="Gemiddeld per maand",$F136,IF(OR($D136="Per maand",$D136="Per week",$D136=""),$F136,IF($D136="Per jaar",IF(5=$W136,$C136,0),IF($D136="Per half jaar",IF(MOD(5-$W136,6)=0,$C136,0),IF($D136="Per kwartaal",IF(MOD(5-$W136,3)=0,$C136,0),$F136))))))</f>
        <v/>
      </c>
      <c r="P136" s="107" t="str">
        <f aca="false">IF($C136="","",IF(Dashboard!$C$4="Gemiddeld per maand",$F136,IF(OR($D136="Per maand",$D136="Per week",$D136=""),$F136,IF($D136="Per jaar",IF(6=$W136,$C136,0),IF($D136="Per half jaar",IF(MOD(6-$W136,6)=0,$C136,0),IF($D136="Per kwartaal",IF(MOD(6-$W136,3)=0,$C136,0),$F136))))))</f>
        <v/>
      </c>
      <c r="Q136" s="107" t="str">
        <f aca="false">IF($C136="","",IF(Dashboard!$C$4="Gemiddeld per maand",$F136,IF(OR($D136="Per maand",$D136="Per week",$D136=""),$F136,IF($D136="Per jaar",IF(7=$W136,$C136,0),IF($D136="Per half jaar",IF(MOD(7-$W136,6)=0,$C136,0),IF($D136="Per kwartaal",IF(MOD(7-$W136,3)=0,$C136,0),$F136))))))</f>
        <v/>
      </c>
      <c r="R136" s="107" t="str">
        <f aca="false">IF($C136="","",IF(Dashboard!$C$4="Gemiddeld per maand",$F136,IF(OR($D136="Per maand",$D136="Per week",$D136=""),$F136,IF($D136="Per jaar",IF(8=$W136,$C136,0),IF($D136="Per half jaar",IF(MOD(8-$W136,6)=0,$C136,0),IF($D136="Per kwartaal",IF(MOD(8-$W136,3)=0,$C136,0),$F136))))))</f>
        <v/>
      </c>
      <c r="S136" s="107" t="str">
        <f aca="false">IF($C136="","",IF(Dashboard!$C$4="Gemiddeld per maand",$F136,IF(OR($D136="Per maand",$D136="Per week",$D136=""),$F136,IF($D136="Per jaar",IF(9=$W136,$C136,0),IF($D136="Per half jaar",IF(MOD(9-$W136,6)=0,$C136,0),IF($D136="Per kwartaal",IF(MOD(9-$W136,3)=0,$C136,0),$F136))))))</f>
        <v/>
      </c>
      <c r="T136" s="107" t="str">
        <f aca="false">IF($C136="","",IF(Dashboard!$C$4="Gemiddeld per maand",$F136,IF(OR($D136="Per maand",$D136="Per week",$D136=""),$F136,IF($D136="Per jaar",IF(10=$W136,$C136,0),IF($D136="Per half jaar",IF(MOD(10-$W136,6)=0,$C136,0),IF($D136="Per kwartaal",IF(MOD(10-$W136,3)=0,$C136,0),$F136))))))</f>
        <v/>
      </c>
      <c r="U136" s="107" t="str">
        <f aca="false">IF($C136="","",IF(Dashboard!$C$4="Gemiddeld per maand",$F136,IF(OR($D136="Per maand",$D136="Per week",$D136=""),$F136,IF($D136="Per jaar",IF(11=$W136,$C136,0),IF($D136="Per half jaar",IF(MOD(11-$W136,6)=0,$C136,0),IF($D136="Per kwartaal",IF(MOD(11-$W136,3)=0,$C136,0),$F136))))))</f>
        <v/>
      </c>
      <c r="V136" s="107" t="str">
        <f aca="false">IF($C136="","",IF(Dashboard!$C$4="Gemiddeld per maand",$F136,IF(OR($D136="Per maand",$D136="Per week",$D136=""),$F136,IF($D136="Per jaar",IF(12=$W136,$C136,0),IF($D136="Per half jaar",IF(MOD(12-$W136,6)=0,$C136,0),IF($D136="Per kwartaal",IF(MOD(12-$W136,3)=0,$C136,0),$F136))))))</f>
        <v/>
      </c>
      <c r="W136" s="15" t="n">
        <f aca="false">IF($E136="",1,IFERROR(MATCH($E136,Lijsten!$K$6:$K$17,0),1))</f>
        <v>1</v>
      </c>
    </row>
    <row r="137" customFormat="false" ht="15" hidden="false" customHeight="false" outlineLevel="0" collapsed="false">
      <c r="A137" s="102"/>
      <c r="B137" s="102"/>
      <c r="C137" s="92"/>
      <c r="D137" s="102"/>
      <c r="E137" s="103"/>
      <c r="F137" s="104" t="str">
        <f aca="false">IF($C137="","",IF($D137="Per jaar",$C137/12,IF($D137="Per kwartaal",$C137/3,IF($D137="Per half jaar",$C137/6,IF($D137="Per week",$C137*52/12,$C137)))))</f>
        <v/>
      </c>
      <c r="G137" s="102"/>
      <c r="H137" s="103"/>
      <c r="I137" s="105"/>
      <c r="J137" s="106" t="str">
        <f aca="false">IF($C137="","",IF(Dashboard!$C$4="Gemiddeld per maand",$F137,IF(OR($D137="Per maand",$D137="Per week",$D137=""),$F137,IF($D137="Per jaar",IF(Dashboard!$N$2=$W137,$C137,0),IF($D137="Per half jaar",IF(MOD(Dashboard!$N$2-$W137,6)=0,$C137,0),IF($D137="Per kwartaal",IF(MOD(Dashboard!$N$2-$W137,3)=0,$C137,0),$F137))))))</f>
        <v/>
      </c>
      <c r="K137" s="107" t="str">
        <f aca="false">IF($C137="","",IF(Dashboard!$C$4="Gemiddeld per maand",$F137,IF(OR($D137="Per maand",$D137="Per week",$D137=""),$F137,IF($D137="Per jaar",IF(1=$W137,$C137,0),IF($D137="Per half jaar",IF(MOD(1-$W137,6)=0,$C137,0),IF($D137="Per kwartaal",IF(MOD(1-$W137,3)=0,$C137,0),$F137))))))</f>
        <v/>
      </c>
      <c r="L137" s="107" t="str">
        <f aca="false">IF($C137="","",IF(Dashboard!$C$4="Gemiddeld per maand",$F137,IF(OR($D137="Per maand",$D137="Per week",$D137=""),$F137,IF($D137="Per jaar",IF(2=$W137,$C137,0),IF($D137="Per half jaar",IF(MOD(2-$W137,6)=0,$C137,0),IF($D137="Per kwartaal",IF(MOD(2-$W137,3)=0,$C137,0),$F137))))))</f>
        <v/>
      </c>
      <c r="M137" s="107" t="str">
        <f aca="false">IF($C137="","",IF(Dashboard!$C$4="Gemiddeld per maand",$F137,IF(OR($D137="Per maand",$D137="Per week",$D137=""),$F137,IF($D137="Per jaar",IF(3=$W137,$C137,0),IF($D137="Per half jaar",IF(MOD(3-$W137,6)=0,$C137,0),IF($D137="Per kwartaal",IF(MOD(3-$W137,3)=0,$C137,0),$F137))))))</f>
        <v/>
      </c>
      <c r="N137" s="107" t="str">
        <f aca="false">IF($C137="","",IF(Dashboard!$C$4="Gemiddeld per maand",$F137,IF(OR($D137="Per maand",$D137="Per week",$D137=""),$F137,IF($D137="Per jaar",IF(4=$W137,$C137,0),IF($D137="Per half jaar",IF(MOD(4-$W137,6)=0,$C137,0),IF($D137="Per kwartaal",IF(MOD(4-$W137,3)=0,$C137,0),$F137))))))</f>
        <v/>
      </c>
      <c r="O137" s="107" t="str">
        <f aca="false">IF($C137="","",IF(Dashboard!$C$4="Gemiddeld per maand",$F137,IF(OR($D137="Per maand",$D137="Per week",$D137=""),$F137,IF($D137="Per jaar",IF(5=$W137,$C137,0),IF($D137="Per half jaar",IF(MOD(5-$W137,6)=0,$C137,0),IF($D137="Per kwartaal",IF(MOD(5-$W137,3)=0,$C137,0),$F137))))))</f>
        <v/>
      </c>
      <c r="P137" s="107" t="str">
        <f aca="false">IF($C137="","",IF(Dashboard!$C$4="Gemiddeld per maand",$F137,IF(OR($D137="Per maand",$D137="Per week",$D137=""),$F137,IF($D137="Per jaar",IF(6=$W137,$C137,0),IF($D137="Per half jaar",IF(MOD(6-$W137,6)=0,$C137,0),IF($D137="Per kwartaal",IF(MOD(6-$W137,3)=0,$C137,0),$F137))))))</f>
        <v/>
      </c>
      <c r="Q137" s="107" t="str">
        <f aca="false">IF($C137="","",IF(Dashboard!$C$4="Gemiddeld per maand",$F137,IF(OR($D137="Per maand",$D137="Per week",$D137=""),$F137,IF($D137="Per jaar",IF(7=$W137,$C137,0),IF($D137="Per half jaar",IF(MOD(7-$W137,6)=0,$C137,0),IF($D137="Per kwartaal",IF(MOD(7-$W137,3)=0,$C137,0),$F137))))))</f>
        <v/>
      </c>
      <c r="R137" s="107" t="str">
        <f aca="false">IF($C137="","",IF(Dashboard!$C$4="Gemiddeld per maand",$F137,IF(OR($D137="Per maand",$D137="Per week",$D137=""),$F137,IF($D137="Per jaar",IF(8=$W137,$C137,0),IF($D137="Per half jaar",IF(MOD(8-$W137,6)=0,$C137,0),IF($D137="Per kwartaal",IF(MOD(8-$W137,3)=0,$C137,0),$F137))))))</f>
        <v/>
      </c>
      <c r="S137" s="107" t="str">
        <f aca="false">IF($C137="","",IF(Dashboard!$C$4="Gemiddeld per maand",$F137,IF(OR($D137="Per maand",$D137="Per week",$D137=""),$F137,IF($D137="Per jaar",IF(9=$W137,$C137,0),IF($D137="Per half jaar",IF(MOD(9-$W137,6)=0,$C137,0),IF($D137="Per kwartaal",IF(MOD(9-$W137,3)=0,$C137,0),$F137))))))</f>
        <v/>
      </c>
      <c r="T137" s="107" t="str">
        <f aca="false">IF($C137="","",IF(Dashboard!$C$4="Gemiddeld per maand",$F137,IF(OR($D137="Per maand",$D137="Per week",$D137=""),$F137,IF($D137="Per jaar",IF(10=$W137,$C137,0),IF($D137="Per half jaar",IF(MOD(10-$W137,6)=0,$C137,0),IF($D137="Per kwartaal",IF(MOD(10-$W137,3)=0,$C137,0),$F137))))))</f>
        <v/>
      </c>
      <c r="U137" s="107" t="str">
        <f aca="false">IF($C137="","",IF(Dashboard!$C$4="Gemiddeld per maand",$F137,IF(OR($D137="Per maand",$D137="Per week",$D137=""),$F137,IF($D137="Per jaar",IF(11=$W137,$C137,0),IF($D137="Per half jaar",IF(MOD(11-$W137,6)=0,$C137,0),IF($D137="Per kwartaal",IF(MOD(11-$W137,3)=0,$C137,0),$F137))))))</f>
        <v/>
      </c>
      <c r="V137" s="107" t="str">
        <f aca="false">IF($C137="","",IF(Dashboard!$C$4="Gemiddeld per maand",$F137,IF(OR($D137="Per maand",$D137="Per week",$D137=""),$F137,IF($D137="Per jaar",IF(12=$W137,$C137,0),IF($D137="Per half jaar",IF(MOD(12-$W137,6)=0,$C137,0),IF($D137="Per kwartaal",IF(MOD(12-$W137,3)=0,$C137,0),$F137))))))</f>
        <v/>
      </c>
      <c r="W137" s="15" t="n">
        <f aca="false">IF($E137="",1,IFERROR(MATCH($E137,Lijsten!$K$6:$K$17,0),1))</f>
        <v>1</v>
      </c>
    </row>
    <row r="138" customFormat="false" ht="15" hidden="false" customHeight="false" outlineLevel="0" collapsed="false">
      <c r="A138" s="102"/>
      <c r="B138" s="102"/>
      <c r="C138" s="92"/>
      <c r="D138" s="102"/>
      <c r="E138" s="103"/>
      <c r="F138" s="104" t="str">
        <f aca="false">IF($C138="","",IF($D138="Per jaar",$C138/12,IF($D138="Per kwartaal",$C138/3,IF($D138="Per half jaar",$C138/6,IF($D138="Per week",$C138*52/12,$C138)))))</f>
        <v/>
      </c>
      <c r="G138" s="102"/>
      <c r="H138" s="103"/>
      <c r="I138" s="105"/>
      <c r="J138" s="106" t="str">
        <f aca="false">IF($C138="","",IF(Dashboard!$C$4="Gemiddeld per maand",$F138,IF(OR($D138="Per maand",$D138="Per week",$D138=""),$F138,IF($D138="Per jaar",IF(Dashboard!$N$2=$W138,$C138,0),IF($D138="Per half jaar",IF(MOD(Dashboard!$N$2-$W138,6)=0,$C138,0),IF($D138="Per kwartaal",IF(MOD(Dashboard!$N$2-$W138,3)=0,$C138,0),$F138))))))</f>
        <v/>
      </c>
      <c r="K138" s="107" t="str">
        <f aca="false">IF($C138="","",IF(Dashboard!$C$4="Gemiddeld per maand",$F138,IF(OR($D138="Per maand",$D138="Per week",$D138=""),$F138,IF($D138="Per jaar",IF(1=$W138,$C138,0),IF($D138="Per half jaar",IF(MOD(1-$W138,6)=0,$C138,0),IF($D138="Per kwartaal",IF(MOD(1-$W138,3)=0,$C138,0),$F138))))))</f>
        <v/>
      </c>
      <c r="L138" s="107" t="str">
        <f aca="false">IF($C138="","",IF(Dashboard!$C$4="Gemiddeld per maand",$F138,IF(OR($D138="Per maand",$D138="Per week",$D138=""),$F138,IF($D138="Per jaar",IF(2=$W138,$C138,0),IF($D138="Per half jaar",IF(MOD(2-$W138,6)=0,$C138,0),IF($D138="Per kwartaal",IF(MOD(2-$W138,3)=0,$C138,0),$F138))))))</f>
        <v/>
      </c>
      <c r="M138" s="107" t="str">
        <f aca="false">IF($C138="","",IF(Dashboard!$C$4="Gemiddeld per maand",$F138,IF(OR($D138="Per maand",$D138="Per week",$D138=""),$F138,IF($D138="Per jaar",IF(3=$W138,$C138,0),IF($D138="Per half jaar",IF(MOD(3-$W138,6)=0,$C138,0),IF($D138="Per kwartaal",IF(MOD(3-$W138,3)=0,$C138,0),$F138))))))</f>
        <v/>
      </c>
      <c r="N138" s="107" t="str">
        <f aca="false">IF($C138="","",IF(Dashboard!$C$4="Gemiddeld per maand",$F138,IF(OR($D138="Per maand",$D138="Per week",$D138=""),$F138,IF($D138="Per jaar",IF(4=$W138,$C138,0),IF($D138="Per half jaar",IF(MOD(4-$W138,6)=0,$C138,0),IF($D138="Per kwartaal",IF(MOD(4-$W138,3)=0,$C138,0),$F138))))))</f>
        <v/>
      </c>
      <c r="O138" s="107" t="str">
        <f aca="false">IF($C138="","",IF(Dashboard!$C$4="Gemiddeld per maand",$F138,IF(OR($D138="Per maand",$D138="Per week",$D138=""),$F138,IF($D138="Per jaar",IF(5=$W138,$C138,0),IF($D138="Per half jaar",IF(MOD(5-$W138,6)=0,$C138,0),IF($D138="Per kwartaal",IF(MOD(5-$W138,3)=0,$C138,0),$F138))))))</f>
        <v/>
      </c>
      <c r="P138" s="107" t="str">
        <f aca="false">IF($C138="","",IF(Dashboard!$C$4="Gemiddeld per maand",$F138,IF(OR($D138="Per maand",$D138="Per week",$D138=""),$F138,IF($D138="Per jaar",IF(6=$W138,$C138,0),IF($D138="Per half jaar",IF(MOD(6-$W138,6)=0,$C138,0),IF($D138="Per kwartaal",IF(MOD(6-$W138,3)=0,$C138,0),$F138))))))</f>
        <v/>
      </c>
      <c r="Q138" s="107" t="str">
        <f aca="false">IF($C138="","",IF(Dashboard!$C$4="Gemiddeld per maand",$F138,IF(OR($D138="Per maand",$D138="Per week",$D138=""),$F138,IF($D138="Per jaar",IF(7=$W138,$C138,0),IF($D138="Per half jaar",IF(MOD(7-$W138,6)=0,$C138,0),IF($D138="Per kwartaal",IF(MOD(7-$W138,3)=0,$C138,0),$F138))))))</f>
        <v/>
      </c>
      <c r="R138" s="107" t="str">
        <f aca="false">IF($C138="","",IF(Dashboard!$C$4="Gemiddeld per maand",$F138,IF(OR($D138="Per maand",$D138="Per week",$D138=""),$F138,IF($D138="Per jaar",IF(8=$W138,$C138,0),IF($D138="Per half jaar",IF(MOD(8-$W138,6)=0,$C138,0),IF($D138="Per kwartaal",IF(MOD(8-$W138,3)=0,$C138,0),$F138))))))</f>
        <v/>
      </c>
      <c r="S138" s="107" t="str">
        <f aca="false">IF($C138="","",IF(Dashboard!$C$4="Gemiddeld per maand",$F138,IF(OR($D138="Per maand",$D138="Per week",$D138=""),$F138,IF($D138="Per jaar",IF(9=$W138,$C138,0),IF($D138="Per half jaar",IF(MOD(9-$W138,6)=0,$C138,0),IF($D138="Per kwartaal",IF(MOD(9-$W138,3)=0,$C138,0),$F138))))))</f>
        <v/>
      </c>
      <c r="T138" s="107" t="str">
        <f aca="false">IF($C138="","",IF(Dashboard!$C$4="Gemiddeld per maand",$F138,IF(OR($D138="Per maand",$D138="Per week",$D138=""),$F138,IF($D138="Per jaar",IF(10=$W138,$C138,0),IF($D138="Per half jaar",IF(MOD(10-$W138,6)=0,$C138,0),IF($D138="Per kwartaal",IF(MOD(10-$W138,3)=0,$C138,0),$F138))))))</f>
        <v/>
      </c>
      <c r="U138" s="107" t="str">
        <f aca="false">IF($C138="","",IF(Dashboard!$C$4="Gemiddeld per maand",$F138,IF(OR($D138="Per maand",$D138="Per week",$D138=""),$F138,IF($D138="Per jaar",IF(11=$W138,$C138,0),IF($D138="Per half jaar",IF(MOD(11-$W138,6)=0,$C138,0),IF($D138="Per kwartaal",IF(MOD(11-$W138,3)=0,$C138,0),$F138))))))</f>
        <v/>
      </c>
      <c r="V138" s="107" t="str">
        <f aca="false">IF($C138="","",IF(Dashboard!$C$4="Gemiddeld per maand",$F138,IF(OR($D138="Per maand",$D138="Per week",$D138=""),$F138,IF($D138="Per jaar",IF(12=$W138,$C138,0),IF($D138="Per half jaar",IF(MOD(12-$W138,6)=0,$C138,0),IF($D138="Per kwartaal",IF(MOD(12-$W138,3)=0,$C138,0),$F138))))))</f>
        <v/>
      </c>
      <c r="W138" s="15" t="n">
        <f aca="false">IF($E138="",1,IFERROR(MATCH($E138,Lijsten!$K$6:$K$17,0),1))</f>
        <v>1</v>
      </c>
    </row>
    <row r="139" customFormat="false" ht="15" hidden="false" customHeight="false" outlineLevel="0" collapsed="false">
      <c r="A139" s="102"/>
      <c r="B139" s="102"/>
      <c r="C139" s="92"/>
      <c r="D139" s="102"/>
      <c r="E139" s="103"/>
      <c r="F139" s="104" t="str">
        <f aca="false">IF($C139="","",IF($D139="Per jaar",$C139/12,IF($D139="Per kwartaal",$C139/3,IF($D139="Per half jaar",$C139/6,IF($D139="Per week",$C139*52/12,$C139)))))</f>
        <v/>
      </c>
      <c r="G139" s="102"/>
      <c r="H139" s="103"/>
      <c r="I139" s="105"/>
      <c r="J139" s="106" t="str">
        <f aca="false">IF($C139="","",IF(Dashboard!$C$4="Gemiddeld per maand",$F139,IF(OR($D139="Per maand",$D139="Per week",$D139=""),$F139,IF($D139="Per jaar",IF(Dashboard!$N$2=$W139,$C139,0),IF($D139="Per half jaar",IF(MOD(Dashboard!$N$2-$W139,6)=0,$C139,0),IF($D139="Per kwartaal",IF(MOD(Dashboard!$N$2-$W139,3)=0,$C139,0),$F139))))))</f>
        <v/>
      </c>
      <c r="K139" s="107" t="str">
        <f aca="false">IF($C139="","",IF(Dashboard!$C$4="Gemiddeld per maand",$F139,IF(OR($D139="Per maand",$D139="Per week",$D139=""),$F139,IF($D139="Per jaar",IF(1=$W139,$C139,0),IF($D139="Per half jaar",IF(MOD(1-$W139,6)=0,$C139,0),IF($D139="Per kwartaal",IF(MOD(1-$W139,3)=0,$C139,0),$F139))))))</f>
        <v/>
      </c>
      <c r="L139" s="107" t="str">
        <f aca="false">IF($C139="","",IF(Dashboard!$C$4="Gemiddeld per maand",$F139,IF(OR($D139="Per maand",$D139="Per week",$D139=""),$F139,IF($D139="Per jaar",IF(2=$W139,$C139,0),IF($D139="Per half jaar",IF(MOD(2-$W139,6)=0,$C139,0),IF($D139="Per kwartaal",IF(MOD(2-$W139,3)=0,$C139,0),$F139))))))</f>
        <v/>
      </c>
      <c r="M139" s="107" t="str">
        <f aca="false">IF($C139="","",IF(Dashboard!$C$4="Gemiddeld per maand",$F139,IF(OR($D139="Per maand",$D139="Per week",$D139=""),$F139,IF($D139="Per jaar",IF(3=$W139,$C139,0),IF($D139="Per half jaar",IF(MOD(3-$W139,6)=0,$C139,0),IF($D139="Per kwartaal",IF(MOD(3-$W139,3)=0,$C139,0),$F139))))))</f>
        <v/>
      </c>
      <c r="N139" s="107" t="str">
        <f aca="false">IF($C139="","",IF(Dashboard!$C$4="Gemiddeld per maand",$F139,IF(OR($D139="Per maand",$D139="Per week",$D139=""),$F139,IF($D139="Per jaar",IF(4=$W139,$C139,0),IF($D139="Per half jaar",IF(MOD(4-$W139,6)=0,$C139,0),IF($D139="Per kwartaal",IF(MOD(4-$W139,3)=0,$C139,0),$F139))))))</f>
        <v/>
      </c>
      <c r="O139" s="107" t="str">
        <f aca="false">IF($C139="","",IF(Dashboard!$C$4="Gemiddeld per maand",$F139,IF(OR($D139="Per maand",$D139="Per week",$D139=""),$F139,IF($D139="Per jaar",IF(5=$W139,$C139,0),IF($D139="Per half jaar",IF(MOD(5-$W139,6)=0,$C139,0),IF($D139="Per kwartaal",IF(MOD(5-$W139,3)=0,$C139,0),$F139))))))</f>
        <v/>
      </c>
      <c r="P139" s="107" t="str">
        <f aca="false">IF($C139="","",IF(Dashboard!$C$4="Gemiddeld per maand",$F139,IF(OR($D139="Per maand",$D139="Per week",$D139=""),$F139,IF($D139="Per jaar",IF(6=$W139,$C139,0),IF($D139="Per half jaar",IF(MOD(6-$W139,6)=0,$C139,0),IF($D139="Per kwartaal",IF(MOD(6-$W139,3)=0,$C139,0),$F139))))))</f>
        <v/>
      </c>
      <c r="Q139" s="107" t="str">
        <f aca="false">IF($C139="","",IF(Dashboard!$C$4="Gemiddeld per maand",$F139,IF(OR($D139="Per maand",$D139="Per week",$D139=""),$F139,IF($D139="Per jaar",IF(7=$W139,$C139,0),IF($D139="Per half jaar",IF(MOD(7-$W139,6)=0,$C139,0),IF($D139="Per kwartaal",IF(MOD(7-$W139,3)=0,$C139,0),$F139))))))</f>
        <v/>
      </c>
      <c r="R139" s="107" t="str">
        <f aca="false">IF($C139="","",IF(Dashboard!$C$4="Gemiddeld per maand",$F139,IF(OR($D139="Per maand",$D139="Per week",$D139=""),$F139,IF($D139="Per jaar",IF(8=$W139,$C139,0),IF($D139="Per half jaar",IF(MOD(8-$W139,6)=0,$C139,0),IF($D139="Per kwartaal",IF(MOD(8-$W139,3)=0,$C139,0),$F139))))))</f>
        <v/>
      </c>
      <c r="S139" s="107" t="str">
        <f aca="false">IF($C139="","",IF(Dashboard!$C$4="Gemiddeld per maand",$F139,IF(OR($D139="Per maand",$D139="Per week",$D139=""),$F139,IF($D139="Per jaar",IF(9=$W139,$C139,0),IF($D139="Per half jaar",IF(MOD(9-$W139,6)=0,$C139,0),IF($D139="Per kwartaal",IF(MOD(9-$W139,3)=0,$C139,0),$F139))))))</f>
        <v/>
      </c>
      <c r="T139" s="107" t="str">
        <f aca="false">IF($C139="","",IF(Dashboard!$C$4="Gemiddeld per maand",$F139,IF(OR($D139="Per maand",$D139="Per week",$D139=""),$F139,IF($D139="Per jaar",IF(10=$W139,$C139,0),IF($D139="Per half jaar",IF(MOD(10-$W139,6)=0,$C139,0),IF($D139="Per kwartaal",IF(MOD(10-$W139,3)=0,$C139,0),$F139))))))</f>
        <v/>
      </c>
      <c r="U139" s="107" t="str">
        <f aca="false">IF($C139="","",IF(Dashboard!$C$4="Gemiddeld per maand",$F139,IF(OR($D139="Per maand",$D139="Per week",$D139=""),$F139,IF($D139="Per jaar",IF(11=$W139,$C139,0),IF($D139="Per half jaar",IF(MOD(11-$W139,6)=0,$C139,0),IF($D139="Per kwartaal",IF(MOD(11-$W139,3)=0,$C139,0),$F139))))))</f>
        <v/>
      </c>
      <c r="V139" s="107" t="str">
        <f aca="false">IF($C139="","",IF(Dashboard!$C$4="Gemiddeld per maand",$F139,IF(OR($D139="Per maand",$D139="Per week",$D139=""),$F139,IF($D139="Per jaar",IF(12=$W139,$C139,0),IF($D139="Per half jaar",IF(MOD(12-$W139,6)=0,$C139,0),IF($D139="Per kwartaal",IF(MOD(12-$W139,3)=0,$C139,0),$F139))))))</f>
        <v/>
      </c>
      <c r="W139" s="15" t="n">
        <f aca="false">IF($E139="",1,IFERROR(MATCH($E139,Lijsten!$K$6:$K$17,0),1))</f>
        <v>1</v>
      </c>
    </row>
    <row r="140" customFormat="false" ht="15" hidden="false" customHeight="false" outlineLevel="0" collapsed="false">
      <c r="A140" s="102"/>
      <c r="B140" s="102"/>
      <c r="C140" s="92"/>
      <c r="D140" s="102"/>
      <c r="E140" s="103"/>
      <c r="F140" s="104" t="str">
        <f aca="false">IF($C140="","",IF($D140="Per jaar",$C140/12,IF($D140="Per kwartaal",$C140/3,IF($D140="Per half jaar",$C140/6,IF($D140="Per week",$C140*52/12,$C140)))))</f>
        <v/>
      </c>
      <c r="G140" s="102"/>
      <c r="H140" s="103"/>
      <c r="I140" s="105"/>
      <c r="J140" s="106" t="str">
        <f aca="false">IF($C140="","",IF(Dashboard!$C$4="Gemiddeld per maand",$F140,IF(OR($D140="Per maand",$D140="Per week",$D140=""),$F140,IF($D140="Per jaar",IF(Dashboard!$N$2=$W140,$C140,0),IF($D140="Per half jaar",IF(MOD(Dashboard!$N$2-$W140,6)=0,$C140,0),IF($D140="Per kwartaal",IF(MOD(Dashboard!$N$2-$W140,3)=0,$C140,0),$F140))))))</f>
        <v/>
      </c>
      <c r="K140" s="107" t="str">
        <f aca="false">IF($C140="","",IF(Dashboard!$C$4="Gemiddeld per maand",$F140,IF(OR($D140="Per maand",$D140="Per week",$D140=""),$F140,IF($D140="Per jaar",IF(1=$W140,$C140,0),IF($D140="Per half jaar",IF(MOD(1-$W140,6)=0,$C140,0),IF($D140="Per kwartaal",IF(MOD(1-$W140,3)=0,$C140,0),$F140))))))</f>
        <v/>
      </c>
      <c r="L140" s="107" t="str">
        <f aca="false">IF($C140="","",IF(Dashboard!$C$4="Gemiddeld per maand",$F140,IF(OR($D140="Per maand",$D140="Per week",$D140=""),$F140,IF($D140="Per jaar",IF(2=$W140,$C140,0),IF($D140="Per half jaar",IF(MOD(2-$W140,6)=0,$C140,0),IF($D140="Per kwartaal",IF(MOD(2-$W140,3)=0,$C140,0),$F140))))))</f>
        <v/>
      </c>
      <c r="M140" s="107" t="str">
        <f aca="false">IF($C140="","",IF(Dashboard!$C$4="Gemiddeld per maand",$F140,IF(OR($D140="Per maand",$D140="Per week",$D140=""),$F140,IF($D140="Per jaar",IF(3=$W140,$C140,0),IF($D140="Per half jaar",IF(MOD(3-$W140,6)=0,$C140,0),IF($D140="Per kwartaal",IF(MOD(3-$W140,3)=0,$C140,0),$F140))))))</f>
        <v/>
      </c>
      <c r="N140" s="107" t="str">
        <f aca="false">IF($C140="","",IF(Dashboard!$C$4="Gemiddeld per maand",$F140,IF(OR($D140="Per maand",$D140="Per week",$D140=""),$F140,IF($D140="Per jaar",IF(4=$W140,$C140,0),IF($D140="Per half jaar",IF(MOD(4-$W140,6)=0,$C140,0),IF($D140="Per kwartaal",IF(MOD(4-$W140,3)=0,$C140,0),$F140))))))</f>
        <v/>
      </c>
      <c r="O140" s="107" t="str">
        <f aca="false">IF($C140="","",IF(Dashboard!$C$4="Gemiddeld per maand",$F140,IF(OR($D140="Per maand",$D140="Per week",$D140=""),$F140,IF($D140="Per jaar",IF(5=$W140,$C140,0),IF($D140="Per half jaar",IF(MOD(5-$W140,6)=0,$C140,0),IF($D140="Per kwartaal",IF(MOD(5-$W140,3)=0,$C140,0),$F140))))))</f>
        <v/>
      </c>
      <c r="P140" s="107" t="str">
        <f aca="false">IF($C140="","",IF(Dashboard!$C$4="Gemiddeld per maand",$F140,IF(OR($D140="Per maand",$D140="Per week",$D140=""),$F140,IF($D140="Per jaar",IF(6=$W140,$C140,0),IF($D140="Per half jaar",IF(MOD(6-$W140,6)=0,$C140,0),IF($D140="Per kwartaal",IF(MOD(6-$W140,3)=0,$C140,0),$F140))))))</f>
        <v/>
      </c>
      <c r="Q140" s="107" t="str">
        <f aca="false">IF($C140="","",IF(Dashboard!$C$4="Gemiddeld per maand",$F140,IF(OR($D140="Per maand",$D140="Per week",$D140=""),$F140,IF($D140="Per jaar",IF(7=$W140,$C140,0),IF($D140="Per half jaar",IF(MOD(7-$W140,6)=0,$C140,0),IF($D140="Per kwartaal",IF(MOD(7-$W140,3)=0,$C140,0),$F140))))))</f>
        <v/>
      </c>
      <c r="R140" s="107" t="str">
        <f aca="false">IF($C140="","",IF(Dashboard!$C$4="Gemiddeld per maand",$F140,IF(OR($D140="Per maand",$D140="Per week",$D140=""),$F140,IF($D140="Per jaar",IF(8=$W140,$C140,0),IF($D140="Per half jaar",IF(MOD(8-$W140,6)=0,$C140,0),IF($D140="Per kwartaal",IF(MOD(8-$W140,3)=0,$C140,0),$F140))))))</f>
        <v/>
      </c>
      <c r="S140" s="107" t="str">
        <f aca="false">IF($C140="","",IF(Dashboard!$C$4="Gemiddeld per maand",$F140,IF(OR($D140="Per maand",$D140="Per week",$D140=""),$F140,IF($D140="Per jaar",IF(9=$W140,$C140,0),IF($D140="Per half jaar",IF(MOD(9-$W140,6)=0,$C140,0),IF($D140="Per kwartaal",IF(MOD(9-$W140,3)=0,$C140,0),$F140))))))</f>
        <v/>
      </c>
      <c r="T140" s="107" t="str">
        <f aca="false">IF($C140="","",IF(Dashboard!$C$4="Gemiddeld per maand",$F140,IF(OR($D140="Per maand",$D140="Per week",$D140=""),$F140,IF($D140="Per jaar",IF(10=$W140,$C140,0),IF($D140="Per half jaar",IF(MOD(10-$W140,6)=0,$C140,0),IF($D140="Per kwartaal",IF(MOD(10-$W140,3)=0,$C140,0),$F140))))))</f>
        <v/>
      </c>
      <c r="U140" s="107" t="str">
        <f aca="false">IF($C140="","",IF(Dashboard!$C$4="Gemiddeld per maand",$F140,IF(OR($D140="Per maand",$D140="Per week",$D140=""),$F140,IF($D140="Per jaar",IF(11=$W140,$C140,0),IF($D140="Per half jaar",IF(MOD(11-$W140,6)=0,$C140,0),IF($D140="Per kwartaal",IF(MOD(11-$W140,3)=0,$C140,0),$F140))))))</f>
        <v/>
      </c>
      <c r="V140" s="107" t="str">
        <f aca="false">IF($C140="","",IF(Dashboard!$C$4="Gemiddeld per maand",$F140,IF(OR($D140="Per maand",$D140="Per week",$D140=""),$F140,IF($D140="Per jaar",IF(12=$W140,$C140,0),IF($D140="Per half jaar",IF(MOD(12-$W140,6)=0,$C140,0),IF($D140="Per kwartaal",IF(MOD(12-$W140,3)=0,$C140,0),$F140))))))</f>
        <v/>
      </c>
      <c r="W140" s="15" t="n">
        <f aca="false">IF($E140="",1,IFERROR(MATCH($E140,Lijsten!$K$6:$K$17,0),1))</f>
        <v>1</v>
      </c>
    </row>
    <row r="141" customFormat="false" ht="15" hidden="false" customHeight="false" outlineLevel="0" collapsed="false">
      <c r="A141" s="102"/>
      <c r="B141" s="102"/>
      <c r="C141" s="92"/>
      <c r="D141" s="102"/>
      <c r="E141" s="103"/>
      <c r="F141" s="104" t="str">
        <f aca="false">IF($C141="","",IF($D141="Per jaar",$C141/12,IF($D141="Per kwartaal",$C141/3,IF($D141="Per half jaar",$C141/6,IF($D141="Per week",$C141*52/12,$C141)))))</f>
        <v/>
      </c>
      <c r="G141" s="102"/>
      <c r="H141" s="103"/>
      <c r="I141" s="105"/>
      <c r="J141" s="106" t="str">
        <f aca="false">IF($C141="","",IF(Dashboard!$C$4="Gemiddeld per maand",$F141,IF(OR($D141="Per maand",$D141="Per week",$D141=""),$F141,IF($D141="Per jaar",IF(Dashboard!$N$2=$W141,$C141,0),IF($D141="Per half jaar",IF(MOD(Dashboard!$N$2-$W141,6)=0,$C141,0),IF($D141="Per kwartaal",IF(MOD(Dashboard!$N$2-$W141,3)=0,$C141,0),$F141))))))</f>
        <v/>
      </c>
      <c r="K141" s="107" t="str">
        <f aca="false">IF($C141="","",IF(Dashboard!$C$4="Gemiddeld per maand",$F141,IF(OR($D141="Per maand",$D141="Per week",$D141=""),$F141,IF($D141="Per jaar",IF(1=$W141,$C141,0),IF($D141="Per half jaar",IF(MOD(1-$W141,6)=0,$C141,0),IF($D141="Per kwartaal",IF(MOD(1-$W141,3)=0,$C141,0),$F141))))))</f>
        <v/>
      </c>
      <c r="L141" s="107" t="str">
        <f aca="false">IF($C141="","",IF(Dashboard!$C$4="Gemiddeld per maand",$F141,IF(OR($D141="Per maand",$D141="Per week",$D141=""),$F141,IF($D141="Per jaar",IF(2=$W141,$C141,0),IF($D141="Per half jaar",IF(MOD(2-$W141,6)=0,$C141,0),IF($D141="Per kwartaal",IF(MOD(2-$W141,3)=0,$C141,0),$F141))))))</f>
        <v/>
      </c>
      <c r="M141" s="107" t="str">
        <f aca="false">IF($C141="","",IF(Dashboard!$C$4="Gemiddeld per maand",$F141,IF(OR($D141="Per maand",$D141="Per week",$D141=""),$F141,IF($D141="Per jaar",IF(3=$W141,$C141,0),IF($D141="Per half jaar",IF(MOD(3-$W141,6)=0,$C141,0),IF($D141="Per kwartaal",IF(MOD(3-$W141,3)=0,$C141,0),$F141))))))</f>
        <v/>
      </c>
      <c r="N141" s="107" t="str">
        <f aca="false">IF($C141="","",IF(Dashboard!$C$4="Gemiddeld per maand",$F141,IF(OR($D141="Per maand",$D141="Per week",$D141=""),$F141,IF($D141="Per jaar",IF(4=$W141,$C141,0),IF($D141="Per half jaar",IF(MOD(4-$W141,6)=0,$C141,0),IF($D141="Per kwartaal",IF(MOD(4-$W141,3)=0,$C141,0),$F141))))))</f>
        <v/>
      </c>
      <c r="O141" s="107" t="str">
        <f aca="false">IF($C141="","",IF(Dashboard!$C$4="Gemiddeld per maand",$F141,IF(OR($D141="Per maand",$D141="Per week",$D141=""),$F141,IF($D141="Per jaar",IF(5=$W141,$C141,0),IF($D141="Per half jaar",IF(MOD(5-$W141,6)=0,$C141,0),IF($D141="Per kwartaal",IF(MOD(5-$W141,3)=0,$C141,0),$F141))))))</f>
        <v/>
      </c>
      <c r="P141" s="107" t="str">
        <f aca="false">IF($C141="","",IF(Dashboard!$C$4="Gemiddeld per maand",$F141,IF(OR($D141="Per maand",$D141="Per week",$D141=""),$F141,IF($D141="Per jaar",IF(6=$W141,$C141,0),IF($D141="Per half jaar",IF(MOD(6-$W141,6)=0,$C141,0),IF($D141="Per kwartaal",IF(MOD(6-$W141,3)=0,$C141,0),$F141))))))</f>
        <v/>
      </c>
      <c r="Q141" s="107" t="str">
        <f aca="false">IF($C141="","",IF(Dashboard!$C$4="Gemiddeld per maand",$F141,IF(OR($D141="Per maand",$D141="Per week",$D141=""),$F141,IF($D141="Per jaar",IF(7=$W141,$C141,0),IF($D141="Per half jaar",IF(MOD(7-$W141,6)=0,$C141,0),IF($D141="Per kwartaal",IF(MOD(7-$W141,3)=0,$C141,0),$F141))))))</f>
        <v/>
      </c>
      <c r="R141" s="107" t="str">
        <f aca="false">IF($C141="","",IF(Dashboard!$C$4="Gemiddeld per maand",$F141,IF(OR($D141="Per maand",$D141="Per week",$D141=""),$F141,IF($D141="Per jaar",IF(8=$W141,$C141,0),IF($D141="Per half jaar",IF(MOD(8-$W141,6)=0,$C141,0),IF($D141="Per kwartaal",IF(MOD(8-$W141,3)=0,$C141,0),$F141))))))</f>
        <v/>
      </c>
      <c r="S141" s="107" t="str">
        <f aca="false">IF($C141="","",IF(Dashboard!$C$4="Gemiddeld per maand",$F141,IF(OR($D141="Per maand",$D141="Per week",$D141=""),$F141,IF($D141="Per jaar",IF(9=$W141,$C141,0),IF($D141="Per half jaar",IF(MOD(9-$W141,6)=0,$C141,0),IF($D141="Per kwartaal",IF(MOD(9-$W141,3)=0,$C141,0),$F141))))))</f>
        <v/>
      </c>
      <c r="T141" s="107" t="str">
        <f aca="false">IF($C141="","",IF(Dashboard!$C$4="Gemiddeld per maand",$F141,IF(OR($D141="Per maand",$D141="Per week",$D141=""),$F141,IF($D141="Per jaar",IF(10=$W141,$C141,0),IF($D141="Per half jaar",IF(MOD(10-$W141,6)=0,$C141,0),IF($D141="Per kwartaal",IF(MOD(10-$W141,3)=0,$C141,0),$F141))))))</f>
        <v/>
      </c>
      <c r="U141" s="107" t="str">
        <f aca="false">IF($C141="","",IF(Dashboard!$C$4="Gemiddeld per maand",$F141,IF(OR($D141="Per maand",$D141="Per week",$D141=""),$F141,IF($D141="Per jaar",IF(11=$W141,$C141,0),IF($D141="Per half jaar",IF(MOD(11-$W141,6)=0,$C141,0),IF($D141="Per kwartaal",IF(MOD(11-$W141,3)=0,$C141,0),$F141))))))</f>
        <v/>
      </c>
      <c r="V141" s="107" t="str">
        <f aca="false">IF($C141="","",IF(Dashboard!$C$4="Gemiddeld per maand",$F141,IF(OR($D141="Per maand",$D141="Per week",$D141=""),$F141,IF($D141="Per jaar",IF(12=$W141,$C141,0),IF($D141="Per half jaar",IF(MOD(12-$W141,6)=0,$C141,0),IF($D141="Per kwartaal",IF(MOD(12-$W141,3)=0,$C141,0),$F141))))))</f>
        <v/>
      </c>
      <c r="W141" s="15" t="n">
        <f aca="false">IF($E141="",1,IFERROR(MATCH($E141,Lijsten!$K$6:$K$17,0),1))</f>
        <v>1</v>
      </c>
    </row>
    <row r="142" customFormat="false" ht="15" hidden="false" customHeight="false" outlineLevel="0" collapsed="false">
      <c r="A142" s="102"/>
      <c r="B142" s="102"/>
      <c r="C142" s="92"/>
      <c r="D142" s="102"/>
      <c r="E142" s="103"/>
      <c r="F142" s="104" t="str">
        <f aca="false">IF($C142="","",IF($D142="Per jaar",$C142/12,IF($D142="Per kwartaal",$C142/3,IF($D142="Per half jaar",$C142/6,IF($D142="Per week",$C142*52/12,$C142)))))</f>
        <v/>
      </c>
      <c r="G142" s="102"/>
      <c r="H142" s="103"/>
      <c r="I142" s="105"/>
      <c r="J142" s="106" t="str">
        <f aca="false">IF($C142="","",IF(Dashboard!$C$4="Gemiddeld per maand",$F142,IF(OR($D142="Per maand",$D142="Per week",$D142=""),$F142,IF($D142="Per jaar",IF(Dashboard!$N$2=$W142,$C142,0),IF($D142="Per half jaar",IF(MOD(Dashboard!$N$2-$W142,6)=0,$C142,0),IF($D142="Per kwartaal",IF(MOD(Dashboard!$N$2-$W142,3)=0,$C142,0),$F142))))))</f>
        <v/>
      </c>
      <c r="K142" s="107" t="str">
        <f aca="false">IF($C142="","",IF(Dashboard!$C$4="Gemiddeld per maand",$F142,IF(OR($D142="Per maand",$D142="Per week",$D142=""),$F142,IF($D142="Per jaar",IF(1=$W142,$C142,0),IF($D142="Per half jaar",IF(MOD(1-$W142,6)=0,$C142,0),IF($D142="Per kwartaal",IF(MOD(1-$W142,3)=0,$C142,0),$F142))))))</f>
        <v/>
      </c>
      <c r="L142" s="107" t="str">
        <f aca="false">IF($C142="","",IF(Dashboard!$C$4="Gemiddeld per maand",$F142,IF(OR($D142="Per maand",$D142="Per week",$D142=""),$F142,IF($D142="Per jaar",IF(2=$W142,$C142,0),IF($D142="Per half jaar",IF(MOD(2-$W142,6)=0,$C142,0),IF($D142="Per kwartaal",IF(MOD(2-$W142,3)=0,$C142,0),$F142))))))</f>
        <v/>
      </c>
      <c r="M142" s="107" t="str">
        <f aca="false">IF($C142="","",IF(Dashboard!$C$4="Gemiddeld per maand",$F142,IF(OR($D142="Per maand",$D142="Per week",$D142=""),$F142,IF($D142="Per jaar",IF(3=$W142,$C142,0),IF($D142="Per half jaar",IF(MOD(3-$W142,6)=0,$C142,0),IF($D142="Per kwartaal",IF(MOD(3-$W142,3)=0,$C142,0),$F142))))))</f>
        <v/>
      </c>
      <c r="N142" s="107" t="str">
        <f aca="false">IF($C142="","",IF(Dashboard!$C$4="Gemiddeld per maand",$F142,IF(OR($D142="Per maand",$D142="Per week",$D142=""),$F142,IF($D142="Per jaar",IF(4=$W142,$C142,0),IF($D142="Per half jaar",IF(MOD(4-$W142,6)=0,$C142,0),IF($D142="Per kwartaal",IF(MOD(4-$W142,3)=0,$C142,0),$F142))))))</f>
        <v/>
      </c>
      <c r="O142" s="107" t="str">
        <f aca="false">IF($C142="","",IF(Dashboard!$C$4="Gemiddeld per maand",$F142,IF(OR($D142="Per maand",$D142="Per week",$D142=""),$F142,IF($D142="Per jaar",IF(5=$W142,$C142,0),IF($D142="Per half jaar",IF(MOD(5-$W142,6)=0,$C142,0),IF($D142="Per kwartaal",IF(MOD(5-$W142,3)=0,$C142,0),$F142))))))</f>
        <v/>
      </c>
      <c r="P142" s="107" t="str">
        <f aca="false">IF($C142="","",IF(Dashboard!$C$4="Gemiddeld per maand",$F142,IF(OR($D142="Per maand",$D142="Per week",$D142=""),$F142,IF($D142="Per jaar",IF(6=$W142,$C142,0),IF($D142="Per half jaar",IF(MOD(6-$W142,6)=0,$C142,0),IF($D142="Per kwartaal",IF(MOD(6-$W142,3)=0,$C142,0),$F142))))))</f>
        <v/>
      </c>
      <c r="Q142" s="107" t="str">
        <f aca="false">IF($C142="","",IF(Dashboard!$C$4="Gemiddeld per maand",$F142,IF(OR($D142="Per maand",$D142="Per week",$D142=""),$F142,IF($D142="Per jaar",IF(7=$W142,$C142,0),IF($D142="Per half jaar",IF(MOD(7-$W142,6)=0,$C142,0),IF($D142="Per kwartaal",IF(MOD(7-$W142,3)=0,$C142,0),$F142))))))</f>
        <v/>
      </c>
      <c r="R142" s="107" t="str">
        <f aca="false">IF($C142="","",IF(Dashboard!$C$4="Gemiddeld per maand",$F142,IF(OR($D142="Per maand",$D142="Per week",$D142=""),$F142,IF($D142="Per jaar",IF(8=$W142,$C142,0),IF($D142="Per half jaar",IF(MOD(8-$W142,6)=0,$C142,0),IF($D142="Per kwartaal",IF(MOD(8-$W142,3)=0,$C142,0),$F142))))))</f>
        <v/>
      </c>
      <c r="S142" s="107" t="str">
        <f aca="false">IF($C142="","",IF(Dashboard!$C$4="Gemiddeld per maand",$F142,IF(OR($D142="Per maand",$D142="Per week",$D142=""),$F142,IF($D142="Per jaar",IF(9=$W142,$C142,0),IF($D142="Per half jaar",IF(MOD(9-$W142,6)=0,$C142,0),IF($D142="Per kwartaal",IF(MOD(9-$W142,3)=0,$C142,0),$F142))))))</f>
        <v/>
      </c>
      <c r="T142" s="107" t="str">
        <f aca="false">IF($C142="","",IF(Dashboard!$C$4="Gemiddeld per maand",$F142,IF(OR($D142="Per maand",$D142="Per week",$D142=""),$F142,IF($D142="Per jaar",IF(10=$W142,$C142,0),IF($D142="Per half jaar",IF(MOD(10-$W142,6)=0,$C142,0),IF($D142="Per kwartaal",IF(MOD(10-$W142,3)=0,$C142,0),$F142))))))</f>
        <v/>
      </c>
      <c r="U142" s="107" t="str">
        <f aca="false">IF($C142="","",IF(Dashboard!$C$4="Gemiddeld per maand",$F142,IF(OR($D142="Per maand",$D142="Per week",$D142=""),$F142,IF($D142="Per jaar",IF(11=$W142,$C142,0),IF($D142="Per half jaar",IF(MOD(11-$W142,6)=0,$C142,0),IF($D142="Per kwartaal",IF(MOD(11-$W142,3)=0,$C142,0),$F142))))))</f>
        <v/>
      </c>
      <c r="V142" s="107" t="str">
        <f aca="false">IF($C142="","",IF(Dashboard!$C$4="Gemiddeld per maand",$F142,IF(OR($D142="Per maand",$D142="Per week",$D142=""),$F142,IF($D142="Per jaar",IF(12=$W142,$C142,0),IF($D142="Per half jaar",IF(MOD(12-$W142,6)=0,$C142,0),IF($D142="Per kwartaal",IF(MOD(12-$W142,3)=0,$C142,0),$F142))))))</f>
        <v/>
      </c>
      <c r="W142" s="15" t="n">
        <f aca="false">IF($E142="",1,IFERROR(MATCH($E142,Lijsten!$K$6:$K$17,0),1))</f>
        <v>1</v>
      </c>
    </row>
    <row r="143" customFormat="false" ht="15" hidden="false" customHeight="false" outlineLevel="0" collapsed="false">
      <c r="A143" s="102"/>
      <c r="B143" s="102"/>
      <c r="C143" s="92"/>
      <c r="D143" s="102"/>
      <c r="E143" s="103"/>
      <c r="F143" s="104" t="str">
        <f aca="false">IF($C143="","",IF($D143="Per jaar",$C143/12,IF($D143="Per kwartaal",$C143/3,IF($D143="Per half jaar",$C143/6,IF($D143="Per week",$C143*52/12,$C143)))))</f>
        <v/>
      </c>
      <c r="G143" s="102"/>
      <c r="H143" s="103"/>
      <c r="I143" s="105"/>
      <c r="J143" s="106" t="str">
        <f aca="false">IF($C143="","",IF(Dashboard!$C$4="Gemiddeld per maand",$F143,IF(OR($D143="Per maand",$D143="Per week",$D143=""),$F143,IF($D143="Per jaar",IF(Dashboard!$N$2=$W143,$C143,0),IF($D143="Per half jaar",IF(MOD(Dashboard!$N$2-$W143,6)=0,$C143,0),IF($D143="Per kwartaal",IF(MOD(Dashboard!$N$2-$W143,3)=0,$C143,0),$F143))))))</f>
        <v/>
      </c>
      <c r="K143" s="107" t="str">
        <f aca="false">IF($C143="","",IF(Dashboard!$C$4="Gemiddeld per maand",$F143,IF(OR($D143="Per maand",$D143="Per week",$D143=""),$F143,IF($D143="Per jaar",IF(1=$W143,$C143,0),IF($D143="Per half jaar",IF(MOD(1-$W143,6)=0,$C143,0),IF($D143="Per kwartaal",IF(MOD(1-$W143,3)=0,$C143,0),$F143))))))</f>
        <v/>
      </c>
      <c r="L143" s="107" t="str">
        <f aca="false">IF($C143="","",IF(Dashboard!$C$4="Gemiddeld per maand",$F143,IF(OR($D143="Per maand",$D143="Per week",$D143=""),$F143,IF($D143="Per jaar",IF(2=$W143,$C143,0),IF($D143="Per half jaar",IF(MOD(2-$W143,6)=0,$C143,0),IF($D143="Per kwartaal",IF(MOD(2-$W143,3)=0,$C143,0),$F143))))))</f>
        <v/>
      </c>
      <c r="M143" s="107" t="str">
        <f aca="false">IF($C143="","",IF(Dashboard!$C$4="Gemiddeld per maand",$F143,IF(OR($D143="Per maand",$D143="Per week",$D143=""),$F143,IF($D143="Per jaar",IF(3=$W143,$C143,0),IF($D143="Per half jaar",IF(MOD(3-$W143,6)=0,$C143,0),IF($D143="Per kwartaal",IF(MOD(3-$W143,3)=0,$C143,0),$F143))))))</f>
        <v/>
      </c>
      <c r="N143" s="107" t="str">
        <f aca="false">IF($C143="","",IF(Dashboard!$C$4="Gemiddeld per maand",$F143,IF(OR($D143="Per maand",$D143="Per week",$D143=""),$F143,IF($D143="Per jaar",IF(4=$W143,$C143,0),IF($D143="Per half jaar",IF(MOD(4-$W143,6)=0,$C143,0),IF($D143="Per kwartaal",IF(MOD(4-$W143,3)=0,$C143,0),$F143))))))</f>
        <v/>
      </c>
      <c r="O143" s="107" t="str">
        <f aca="false">IF($C143="","",IF(Dashboard!$C$4="Gemiddeld per maand",$F143,IF(OR($D143="Per maand",$D143="Per week",$D143=""),$F143,IF($D143="Per jaar",IF(5=$W143,$C143,0),IF($D143="Per half jaar",IF(MOD(5-$W143,6)=0,$C143,0),IF($D143="Per kwartaal",IF(MOD(5-$W143,3)=0,$C143,0),$F143))))))</f>
        <v/>
      </c>
      <c r="P143" s="107" t="str">
        <f aca="false">IF($C143="","",IF(Dashboard!$C$4="Gemiddeld per maand",$F143,IF(OR($D143="Per maand",$D143="Per week",$D143=""),$F143,IF($D143="Per jaar",IF(6=$W143,$C143,0),IF($D143="Per half jaar",IF(MOD(6-$W143,6)=0,$C143,0),IF($D143="Per kwartaal",IF(MOD(6-$W143,3)=0,$C143,0),$F143))))))</f>
        <v/>
      </c>
      <c r="Q143" s="107" t="str">
        <f aca="false">IF($C143="","",IF(Dashboard!$C$4="Gemiddeld per maand",$F143,IF(OR($D143="Per maand",$D143="Per week",$D143=""),$F143,IF($D143="Per jaar",IF(7=$W143,$C143,0),IF($D143="Per half jaar",IF(MOD(7-$W143,6)=0,$C143,0),IF($D143="Per kwartaal",IF(MOD(7-$W143,3)=0,$C143,0),$F143))))))</f>
        <v/>
      </c>
      <c r="R143" s="107" t="str">
        <f aca="false">IF($C143="","",IF(Dashboard!$C$4="Gemiddeld per maand",$F143,IF(OR($D143="Per maand",$D143="Per week",$D143=""),$F143,IF($D143="Per jaar",IF(8=$W143,$C143,0),IF($D143="Per half jaar",IF(MOD(8-$W143,6)=0,$C143,0),IF($D143="Per kwartaal",IF(MOD(8-$W143,3)=0,$C143,0),$F143))))))</f>
        <v/>
      </c>
      <c r="S143" s="107" t="str">
        <f aca="false">IF($C143="","",IF(Dashboard!$C$4="Gemiddeld per maand",$F143,IF(OR($D143="Per maand",$D143="Per week",$D143=""),$F143,IF($D143="Per jaar",IF(9=$W143,$C143,0),IF($D143="Per half jaar",IF(MOD(9-$W143,6)=0,$C143,0),IF($D143="Per kwartaal",IF(MOD(9-$W143,3)=0,$C143,0),$F143))))))</f>
        <v/>
      </c>
      <c r="T143" s="107" t="str">
        <f aca="false">IF($C143="","",IF(Dashboard!$C$4="Gemiddeld per maand",$F143,IF(OR($D143="Per maand",$D143="Per week",$D143=""),$F143,IF($D143="Per jaar",IF(10=$W143,$C143,0),IF($D143="Per half jaar",IF(MOD(10-$W143,6)=0,$C143,0),IF($D143="Per kwartaal",IF(MOD(10-$W143,3)=0,$C143,0),$F143))))))</f>
        <v/>
      </c>
      <c r="U143" s="107" t="str">
        <f aca="false">IF($C143="","",IF(Dashboard!$C$4="Gemiddeld per maand",$F143,IF(OR($D143="Per maand",$D143="Per week",$D143=""),$F143,IF($D143="Per jaar",IF(11=$W143,$C143,0),IF($D143="Per half jaar",IF(MOD(11-$W143,6)=0,$C143,0),IF($D143="Per kwartaal",IF(MOD(11-$W143,3)=0,$C143,0),$F143))))))</f>
        <v/>
      </c>
      <c r="V143" s="107" t="str">
        <f aca="false">IF($C143="","",IF(Dashboard!$C$4="Gemiddeld per maand",$F143,IF(OR($D143="Per maand",$D143="Per week",$D143=""),$F143,IF($D143="Per jaar",IF(12=$W143,$C143,0),IF($D143="Per half jaar",IF(MOD(12-$W143,6)=0,$C143,0),IF($D143="Per kwartaal",IF(MOD(12-$W143,3)=0,$C143,0),$F143))))))</f>
        <v/>
      </c>
      <c r="W143" s="15" t="n">
        <f aca="false">IF($E143="",1,IFERROR(MATCH($E143,Lijsten!$K$6:$K$17,0),1))</f>
        <v>1</v>
      </c>
    </row>
    <row r="144" customFormat="false" ht="15" hidden="false" customHeight="false" outlineLevel="0" collapsed="false">
      <c r="A144" s="102"/>
      <c r="B144" s="102"/>
      <c r="C144" s="92"/>
      <c r="D144" s="102"/>
      <c r="E144" s="103"/>
      <c r="F144" s="104" t="str">
        <f aca="false">IF($C144="","",IF($D144="Per jaar",$C144/12,IF($D144="Per kwartaal",$C144/3,IF($D144="Per half jaar",$C144/6,IF($D144="Per week",$C144*52/12,$C144)))))</f>
        <v/>
      </c>
      <c r="G144" s="102"/>
      <c r="H144" s="103"/>
      <c r="I144" s="105"/>
      <c r="J144" s="106" t="str">
        <f aca="false">IF($C144="","",IF(Dashboard!$C$4="Gemiddeld per maand",$F144,IF(OR($D144="Per maand",$D144="Per week",$D144=""),$F144,IF($D144="Per jaar",IF(Dashboard!$N$2=$W144,$C144,0),IF($D144="Per half jaar",IF(MOD(Dashboard!$N$2-$W144,6)=0,$C144,0),IF($D144="Per kwartaal",IF(MOD(Dashboard!$N$2-$W144,3)=0,$C144,0),$F144))))))</f>
        <v/>
      </c>
      <c r="K144" s="107" t="str">
        <f aca="false">IF($C144="","",IF(Dashboard!$C$4="Gemiddeld per maand",$F144,IF(OR($D144="Per maand",$D144="Per week",$D144=""),$F144,IF($D144="Per jaar",IF(1=$W144,$C144,0),IF($D144="Per half jaar",IF(MOD(1-$W144,6)=0,$C144,0),IF($D144="Per kwartaal",IF(MOD(1-$W144,3)=0,$C144,0),$F144))))))</f>
        <v/>
      </c>
      <c r="L144" s="107" t="str">
        <f aca="false">IF($C144="","",IF(Dashboard!$C$4="Gemiddeld per maand",$F144,IF(OR($D144="Per maand",$D144="Per week",$D144=""),$F144,IF($D144="Per jaar",IF(2=$W144,$C144,0),IF($D144="Per half jaar",IF(MOD(2-$W144,6)=0,$C144,0),IF($D144="Per kwartaal",IF(MOD(2-$W144,3)=0,$C144,0),$F144))))))</f>
        <v/>
      </c>
      <c r="M144" s="107" t="str">
        <f aca="false">IF($C144="","",IF(Dashboard!$C$4="Gemiddeld per maand",$F144,IF(OR($D144="Per maand",$D144="Per week",$D144=""),$F144,IF($D144="Per jaar",IF(3=$W144,$C144,0),IF($D144="Per half jaar",IF(MOD(3-$W144,6)=0,$C144,0),IF($D144="Per kwartaal",IF(MOD(3-$W144,3)=0,$C144,0),$F144))))))</f>
        <v/>
      </c>
      <c r="N144" s="107" t="str">
        <f aca="false">IF($C144="","",IF(Dashboard!$C$4="Gemiddeld per maand",$F144,IF(OR($D144="Per maand",$D144="Per week",$D144=""),$F144,IF($D144="Per jaar",IF(4=$W144,$C144,0),IF($D144="Per half jaar",IF(MOD(4-$W144,6)=0,$C144,0),IF($D144="Per kwartaal",IF(MOD(4-$W144,3)=0,$C144,0),$F144))))))</f>
        <v/>
      </c>
      <c r="O144" s="107" t="str">
        <f aca="false">IF($C144="","",IF(Dashboard!$C$4="Gemiddeld per maand",$F144,IF(OR($D144="Per maand",$D144="Per week",$D144=""),$F144,IF($D144="Per jaar",IF(5=$W144,$C144,0),IF($D144="Per half jaar",IF(MOD(5-$W144,6)=0,$C144,0),IF($D144="Per kwartaal",IF(MOD(5-$W144,3)=0,$C144,0),$F144))))))</f>
        <v/>
      </c>
      <c r="P144" s="107" t="str">
        <f aca="false">IF($C144="","",IF(Dashboard!$C$4="Gemiddeld per maand",$F144,IF(OR($D144="Per maand",$D144="Per week",$D144=""),$F144,IF($D144="Per jaar",IF(6=$W144,$C144,0),IF($D144="Per half jaar",IF(MOD(6-$W144,6)=0,$C144,0),IF($D144="Per kwartaal",IF(MOD(6-$W144,3)=0,$C144,0),$F144))))))</f>
        <v/>
      </c>
      <c r="Q144" s="107" t="str">
        <f aca="false">IF($C144="","",IF(Dashboard!$C$4="Gemiddeld per maand",$F144,IF(OR($D144="Per maand",$D144="Per week",$D144=""),$F144,IF($D144="Per jaar",IF(7=$W144,$C144,0),IF($D144="Per half jaar",IF(MOD(7-$W144,6)=0,$C144,0),IF($D144="Per kwartaal",IF(MOD(7-$W144,3)=0,$C144,0),$F144))))))</f>
        <v/>
      </c>
      <c r="R144" s="107" t="str">
        <f aca="false">IF($C144="","",IF(Dashboard!$C$4="Gemiddeld per maand",$F144,IF(OR($D144="Per maand",$D144="Per week",$D144=""),$F144,IF($D144="Per jaar",IF(8=$W144,$C144,0),IF($D144="Per half jaar",IF(MOD(8-$W144,6)=0,$C144,0),IF($D144="Per kwartaal",IF(MOD(8-$W144,3)=0,$C144,0),$F144))))))</f>
        <v/>
      </c>
      <c r="S144" s="107" t="str">
        <f aca="false">IF($C144="","",IF(Dashboard!$C$4="Gemiddeld per maand",$F144,IF(OR($D144="Per maand",$D144="Per week",$D144=""),$F144,IF($D144="Per jaar",IF(9=$W144,$C144,0),IF($D144="Per half jaar",IF(MOD(9-$W144,6)=0,$C144,0),IF($D144="Per kwartaal",IF(MOD(9-$W144,3)=0,$C144,0),$F144))))))</f>
        <v/>
      </c>
      <c r="T144" s="107" t="str">
        <f aca="false">IF($C144="","",IF(Dashboard!$C$4="Gemiddeld per maand",$F144,IF(OR($D144="Per maand",$D144="Per week",$D144=""),$F144,IF($D144="Per jaar",IF(10=$W144,$C144,0),IF($D144="Per half jaar",IF(MOD(10-$W144,6)=0,$C144,0),IF($D144="Per kwartaal",IF(MOD(10-$W144,3)=0,$C144,0),$F144))))))</f>
        <v/>
      </c>
      <c r="U144" s="107" t="str">
        <f aca="false">IF($C144="","",IF(Dashboard!$C$4="Gemiddeld per maand",$F144,IF(OR($D144="Per maand",$D144="Per week",$D144=""),$F144,IF($D144="Per jaar",IF(11=$W144,$C144,0),IF($D144="Per half jaar",IF(MOD(11-$W144,6)=0,$C144,0),IF($D144="Per kwartaal",IF(MOD(11-$W144,3)=0,$C144,0),$F144))))))</f>
        <v/>
      </c>
      <c r="V144" s="107" t="str">
        <f aca="false">IF($C144="","",IF(Dashboard!$C$4="Gemiddeld per maand",$F144,IF(OR($D144="Per maand",$D144="Per week",$D144=""),$F144,IF($D144="Per jaar",IF(12=$W144,$C144,0),IF($D144="Per half jaar",IF(MOD(12-$W144,6)=0,$C144,0),IF($D144="Per kwartaal",IF(MOD(12-$W144,3)=0,$C144,0),$F144))))))</f>
        <v/>
      </c>
      <c r="W144" s="15" t="n">
        <f aca="false">IF($E144="",1,IFERROR(MATCH($E144,Lijsten!$K$6:$K$17,0),1))</f>
        <v>1</v>
      </c>
    </row>
    <row r="145" customFormat="false" ht="15" hidden="false" customHeight="false" outlineLevel="0" collapsed="false">
      <c r="A145" s="102"/>
      <c r="B145" s="102"/>
      <c r="C145" s="92"/>
      <c r="D145" s="102"/>
      <c r="E145" s="103"/>
      <c r="F145" s="104" t="str">
        <f aca="false">IF($C145="","",IF($D145="Per jaar",$C145/12,IF($D145="Per kwartaal",$C145/3,IF($D145="Per half jaar",$C145/6,IF($D145="Per week",$C145*52/12,$C145)))))</f>
        <v/>
      </c>
      <c r="G145" s="102"/>
      <c r="H145" s="103"/>
      <c r="I145" s="105"/>
      <c r="J145" s="106" t="str">
        <f aca="false">IF($C145="","",IF(Dashboard!$C$4="Gemiddeld per maand",$F145,IF(OR($D145="Per maand",$D145="Per week",$D145=""),$F145,IF($D145="Per jaar",IF(Dashboard!$N$2=$W145,$C145,0),IF($D145="Per half jaar",IF(MOD(Dashboard!$N$2-$W145,6)=0,$C145,0),IF($D145="Per kwartaal",IF(MOD(Dashboard!$N$2-$W145,3)=0,$C145,0),$F145))))))</f>
        <v/>
      </c>
      <c r="K145" s="107" t="str">
        <f aca="false">IF($C145="","",IF(Dashboard!$C$4="Gemiddeld per maand",$F145,IF(OR($D145="Per maand",$D145="Per week",$D145=""),$F145,IF($D145="Per jaar",IF(1=$W145,$C145,0),IF($D145="Per half jaar",IF(MOD(1-$W145,6)=0,$C145,0),IF($D145="Per kwartaal",IF(MOD(1-$W145,3)=0,$C145,0),$F145))))))</f>
        <v/>
      </c>
      <c r="L145" s="107" t="str">
        <f aca="false">IF($C145="","",IF(Dashboard!$C$4="Gemiddeld per maand",$F145,IF(OR($D145="Per maand",$D145="Per week",$D145=""),$F145,IF($D145="Per jaar",IF(2=$W145,$C145,0),IF($D145="Per half jaar",IF(MOD(2-$W145,6)=0,$C145,0),IF($D145="Per kwartaal",IF(MOD(2-$W145,3)=0,$C145,0),$F145))))))</f>
        <v/>
      </c>
      <c r="M145" s="107" t="str">
        <f aca="false">IF($C145="","",IF(Dashboard!$C$4="Gemiddeld per maand",$F145,IF(OR($D145="Per maand",$D145="Per week",$D145=""),$F145,IF($D145="Per jaar",IF(3=$W145,$C145,0),IF($D145="Per half jaar",IF(MOD(3-$W145,6)=0,$C145,0),IF($D145="Per kwartaal",IF(MOD(3-$W145,3)=0,$C145,0),$F145))))))</f>
        <v/>
      </c>
      <c r="N145" s="107" t="str">
        <f aca="false">IF($C145="","",IF(Dashboard!$C$4="Gemiddeld per maand",$F145,IF(OR($D145="Per maand",$D145="Per week",$D145=""),$F145,IF($D145="Per jaar",IF(4=$W145,$C145,0),IF($D145="Per half jaar",IF(MOD(4-$W145,6)=0,$C145,0),IF($D145="Per kwartaal",IF(MOD(4-$W145,3)=0,$C145,0),$F145))))))</f>
        <v/>
      </c>
      <c r="O145" s="107" t="str">
        <f aca="false">IF($C145="","",IF(Dashboard!$C$4="Gemiddeld per maand",$F145,IF(OR($D145="Per maand",$D145="Per week",$D145=""),$F145,IF($D145="Per jaar",IF(5=$W145,$C145,0),IF($D145="Per half jaar",IF(MOD(5-$W145,6)=0,$C145,0),IF($D145="Per kwartaal",IF(MOD(5-$W145,3)=0,$C145,0),$F145))))))</f>
        <v/>
      </c>
      <c r="P145" s="107" t="str">
        <f aca="false">IF($C145="","",IF(Dashboard!$C$4="Gemiddeld per maand",$F145,IF(OR($D145="Per maand",$D145="Per week",$D145=""),$F145,IF($D145="Per jaar",IF(6=$W145,$C145,0),IF($D145="Per half jaar",IF(MOD(6-$W145,6)=0,$C145,0),IF($D145="Per kwartaal",IF(MOD(6-$W145,3)=0,$C145,0),$F145))))))</f>
        <v/>
      </c>
      <c r="Q145" s="107" t="str">
        <f aca="false">IF($C145="","",IF(Dashboard!$C$4="Gemiddeld per maand",$F145,IF(OR($D145="Per maand",$D145="Per week",$D145=""),$F145,IF($D145="Per jaar",IF(7=$W145,$C145,0),IF($D145="Per half jaar",IF(MOD(7-$W145,6)=0,$C145,0),IF($D145="Per kwartaal",IF(MOD(7-$W145,3)=0,$C145,0),$F145))))))</f>
        <v/>
      </c>
      <c r="R145" s="107" t="str">
        <f aca="false">IF($C145="","",IF(Dashboard!$C$4="Gemiddeld per maand",$F145,IF(OR($D145="Per maand",$D145="Per week",$D145=""),$F145,IF($D145="Per jaar",IF(8=$W145,$C145,0),IF($D145="Per half jaar",IF(MOD(8-$W145,6)=0,$C145,0),IF($D145="Per kwartaal",IF(MOD(8-$W145,3)=0,$C145,0),$F145))))))</f>
        <v/>
      </c>
      <c r="S145" s="107" t="str">
        <f aca="false">IF($C145="","",IF(Dashboard!$C$4="Gemiddeld per maand",$F145,IF(OR($D145="Per maand",$D145="Per week",$D145=""),$F145,IF($D145="Per jaar",IF(9=$W145,$C145,0),IF($D145="Per half jaar",IF(MOD(9-$W145,6)=0,$C145,0),IF($D145="Per kwartaal",IF(MOD(9-$W145,3)=0,$C145,0),$F145))))))</f>
        <v/>
      </c>
      <c r="T145" s="107" t="str">
        <f aca="false">IF($C145="","",IF(Dashboard!$C$4="Gemiddeld per maand",$F145,IF(OR($D145="Per maand",$D145="Per week",$D145=""),$F145,IF($D145="Per jaar",IF(10=$W145,$C145,0),IF($D145="Per half jaar",IF(MOD(10-$W145,6)=0,$C145,0),IF($D145="Per kwartaal",IF(MOD(10-$W145,3)=0,$C145,0),$F145))))))</f>
        <v/>
      </c>
      <c r="U145" s="107" t="str">
        <f aca="false">IF($C145="","",IF(Dashboard!$C$4="Gemiddeld per maand",$F145,IF(OR($D145="Per maand",$D145="Per week",$D145=""),$F145,IF($D145="Per jaar",IF(11=$W145,$C145,0),IF($D145="Per half jaar",IF(MOD(11-$W145,6)=0,$C145,0),IF($D145="Per kwartaal",IF(MOD(11-$W145,3)=0,$C145,0),$F145))))))</f>
        <v/>
      </c>
      <c r="V145" s="107" t="str">
        <f aca="false">IF($C145="","",IF(Dashboard!$C$4="Gemiddeld per maand",$F145,IF(OR($D145="Per maand",$D145="Per week",$D145=""),$F145,IF($D145="Per jaar",IF(12=$W145,$C145,0),IF($D145="Per half jaar",IF(MOD(12-$W145,6)=0,$C145,0),IF($D145="Per kwartaal",IF(MOD(12-$W145,3)=0,$C145,0),$F145))))))</f>
        <v/>
      </c>
      <c r="W145" s="15" t="n">
        <f aca="false">IF($E145="",1,IFERROR(MATCH($E145,Lijsten!$K$6:$K$17,0),1))</f>
        <v>1</v>
      </c>
    </row>
    <row r="146" customFormat="false" ht="15" hidden="false" customHeight="false" outlineLevel="0" collapsed="false">
      <c r="A146" s="102"/>
      <c r="B146" s="102"/>
      <c r="C146" s="92"/>
      <c r="D146" s="102"/>
      <c r="E146" s="103"/>
      <c r="F146" s="104" t="str">
        <f aca="false">IF($C146="","",IF($D146="Per jaar",$C146/12,IF($D146="Per kwartaal",$C146/3,IF($D146="Per half jaar",$C146/6,IF($D146="Per week",$C146*52/12,$C146)))))</f>
        <v/>
      </c>
      <c r="G146" s="102"/>
      <c r="H146" s="103"/>
      <c r="I146" s="105"/>
      <c r="J146" s="106" t="str">
        <f aca="false">IF($C146="","",IF(Dashboard!$C$4="Gemiddeld per maand",$F146,IF(OR($D146="Per maand",$D146="Per week",$D146=""),$F146,IF($D146="Per jaar",IF(Dashboard!$N$2=$W146,$C146,0),IF($D146="Per half jaar",IF(MOD(Dashboard!$N$2-$W146,6)=0,$C146,0),IF($D146="Per kwartaal",IF(MOD(Dashboard!$N$2-$W146,3)=0,$C146,0),$F146))))))</f>
        <v/>
      </c>
      <c r="K146" s="107" t="str">
        <f aca="false">IF($C146="","",IF(Dashboard!$C$4="Gemiddeld per maand",$F146,IF(OR($D146="Per maand",$D146="Per week",$D146=""),$F146,IF($D146="Per jaar",IF(1=$W146,$C146,0),IF($D146="Per half jaar",IF(MOD(1-$W146,6)=0,$C146,0),IF($D146="Per kwartaal",IF(MOD(1-$W146,3)=0,$C146,0),$F146))))))</f>
        <v/>
      </c>
      <c r="L146" s="107" t="str">
        <f aca="false">IF($C146="","",IF(Dashboard!$C$4="Gemiddeld per maand",$F146,IF(OR($D146="Per maand",$D146="Per week",$D146=""),$F146,IF($D146="Per jaar",IF(2=$W146,$C146,0),IF($D146="Per half jaar",IF(MOD(2-$W146,6)=0,$C146,0),IF($D146="Per kwartaal",IF(MOD(2-$W146,3)=0,$C146,0),$F146))))))</f>
        <v/>
      </c>
      <c r="M146" s="107" t="str">
        <f aca="false">IF($C146="","",IF(Dashboard!$C$4="Gemiddeld per maand",$F146,IF(OR($D146="Per maand",$D146="Per week",$D146=""),$F146,IF($D146="Per jaar",IF(3=$W146,$C146,0),IF($D146="Per half jaar",IF(MOD(3-$W146,6)=0,$C146,0),IF($D146="Per kwartaal",IF(MOD(3-$W146,3)=0,$C146,0),$F146))))))</f>
        <v/>
      </c>
      <c r="N146" s="107" t="str">
        <f aca="false">IF($C146="","",IF(Dashboard!$C$4="Gemiddeld per maand",$F146,IF(OR($D146="Per maand",$D146="Per week",$D146=""),$F146,IF($D146="Per jaar",IF(4=$W146,$C146,0),IF($D146="Per half jaar",IF(MOD(4-$W146,6)=0,$C146,0),IF($D146="Per kwartaal",IF(MOD(4-$W146,3)=0,$C146,0),$F146))))))</f>
        <v/>
      </c>
      <c r="O146" s="107" t="str">
        <f aca="false">IF($C146="","",IF(Dashboard!$C$4="Gemiddeld per maand",$F146,IF(OR($D146="Per maand",$D146="Per week",$D146=""),$F146,IF($D146="Per jaar",IF(5=$W146,$C146,0),IF($D146="Per half jaar",IF(MOD(5-$W146,6)=0,$C146,0),IF($D146="Per kwartaal",IF(MOD(5-$W146,3)=0,$C146,0),$F146))))))</f>
        <v/>
      </c>
      <c r="P146" s="107" t="str">
        <f aca="false">IF($C146="","",IF(Dashboard!$C$4="Gemiddeld per maand",$F146,IF(OR($D146="Per maand",$D146="Per week",$D146=""),$F146,IF($D146="Per jaar",IF(6=$W146,$C146,0),IF($D146="Per half jaar",IF(MOD(6-$W146,6)=0,$C146,0),IF($D146="Per kwartaal",IF(MOD(6-$W146,3)=0,$C146,0),$F146))))))</f>
        <v/>
      </c>
      <c r="Q146" s="107" t="str">
        <f aca="false">IF($C146="","",IF(Dashboard!$C$4="Gemiddeld per maand",$F146,IF(OR($D146="Per maand",$D146="Per week",$D146=""),$F146,IF($D146="Per jaar",IF(7=$W146,$C146,0),IF($D146="Per half jaar",IF(MOD(7-$W146,6)=0,$C146,0),IF($D146="Per kwartaal",IF(MOD(7-$W146,3)=0,$C146,0),$F146))))))</f>
        <v/>
      </c>
      <c r="R146" s="107" t="str">
        <f aca="false">IF($C146="","",IF(Dashboard!$C$4="Gemiddeld per maand",$F146,IF(OR($D146="Per maand",$D146="Per week",$D146=""),$F146,IF($D146="Per jaar",IF(8=$W146,$C146,0),IF($D146="Per half jaar",IF(MOD(8-$W146,6)=0,$C146,0),IF($D146="Per kwartaal",IF(MOD(8-$W146,3)=0,$C146,0),$F146))))))</f>
        <v/>
      </c>
      <c r="S146" s="107" t="str">
        <f aca="false">IF($C146="","",IF(Dashboard!$C$4="Gemiddeld per maand",$F146,IF(OR($D146="Per maand",$D146="Per week",$D146=""),$F146,IF($D146="Per jaar",IF(9=$W146,$C146,0),IF($D146="Per half jaar",IF(MOD(9-$W146,6)=0,$C146,0),IF($D146="Per kwartaal",IF(MOD(9-$W146,3)=0,$C146,0),$F146))))))</f>
        <v/>
      </c>
      <c r="T146" s="107" t="str">
        <f aca="false">IF($C146="","",IF(Dashboard!$C$4="Gemiddeld per maand",$F146,IF(OR($D146="Per maand",$D146="Per week",$D146=""),$F146,IF($D146="Per jaar",IF(10=$W146,$C146,0),IF($D146="Per half jaar",IF(MOD(10-$W146,6)=0,$C146,0),IF($D146="Per kwartaal",IF(MOD(10-$W146,3)=0,$C146,0),$F146))))))</f>
        <v/>
      </c>
      <c r="U146" s="107" t="str">
        <f aca="false">IF($C146="","",IF(Dashboard!$C$4="Gemiddeld per maand",$F146,IF(OR($D146="Per maand",$D146="Per week",$D146=""),$F146,IF($D146="Per jaar",IF(11=$W146,$C146,0),IF($D146="Per half jaar",IF(MOD(11-$W146,6)=0,$C146,0),IF($D146="Per kwartaal",IF(MOD(11-$W146,3)=0,$C146,0),$F146))))))</f>
        <v/>
      </c>
      <c r="V146" s="107" t="str">
        <f aca="false">IF($C146="","",IF(Dashboard!$C$4="Gemiddeld per maand",$F146,IF(OR($D146="Per maand",$D146="Per week",$D146=""),$F146,IF($D146="Per jaar",IF(12=$W146,$C146,0),IF($D146="Per half jaar",IF(MOD(12-$W146,6)=0,$C146,0),IF($D146="Per kwartaal",IF(MOD(12-$W146,3)=0,$C146,0),$F146))))))</f>
        <v/>
      </c>
      <c r="W146" s="15" t="n">
        <f aca="false">IF($E146="",1,IFERROR(MATCH($E146,Lijsten!$K$6:$K$17,0),1))</f>
        <v>1</v>
      </c>
    </row>
    <row r="147" customFormat="false" ht="15" hidden="false" customHeight="false" outlineLevel="0" collapsed="false">
      <c r="A147" s="102"/>
      <c r="B147" s="102"/>
      <c r="C147" s="92"/>
      <c r="D147" s="102"/>
      <c r="E147" s="103"/>
      <c r="F147" s="104" t="str">
        <f aca="false">IF($C147="","",IF($D147="Per jaar",$C147/12,IF($D147="Per kwartaal",$C147/3,IF($D147="Per half jaar",$C147/6,IF($D147="Per week",$C147*52/12,$C147)))))</f>
        <v/>
      </c>
      <c r="G147" s="102"/>
      <c r="H147" s="103"/>
      <c r="I147" s="105"/>
      <c r="J147" s="106" t="str">
        <f aca="false">IF($C147="","",IF(Dashboard!$C$4="Gemiddeld per maand",$F147,IF(OR($D147="Per maand",$D147="Per week",$D147=""),$F147,IF($D147="Per jaar",IF(Dashboard!$N$2=$W147,$C147,0),IF($D147="Per half jaar",IF(MOD(Dashboard!$N$2-$W147,6)=0,$C147,0),IF($D147="Per kwartaal",IF(MOD(Dashboard!$N$2-$W147,3)=0,$C147,0),$F147))))))</f>
        <v/>
      </c>
      <c r="K147" s="107" t="str">
        <f aca="false">IF($C147="","",IF(Dashboard!$C$4="Gemiddeld per maand",$F147,IF(OR($D147="Per maand",$D147="Per week",$D147=""),$F147,IF($D147="Per jaar",IF(1=$W147,$C147,0),IF($D147="Per half jaar",IF(MOD(1-$W147,6)=0,$C147,0),IF($D147="Per kwartaal",IF(MOD(1-$W147,3)=0,$C147,0),$F147))))))</f>
        <v/>
      </c>
      <c r="L147" s="107" t="str">
        <f aca="false">IF($C147="","",IF(Dashboard!$C$4="Gemiddeld per maand",$F147,IF(OR($D147="Per maand",$D147="Per week",$D147=""),$F147,IF($D147="Per jaar",IF(2=$W147,$C147,0),IF($D147="Per half jaar",IF(MOD(2-$W147,6)=0,$C147,0),IF($D147="Per kwartaal",IF(MOD(2-$W147,3)=0,$C147,0),$F147))))))</f>
        <v/>
      </c>
      <c r="M147" s="107" t="str">
        <f aca="false">IF($C147="","",IF(Dashboard!$C$4="Gemiddeld per maand",$F147,IF(OR($D147="Per maand",$D147="Per week",$D147=""),$F147,IF($D147="Per jaar",IF(3=$W147,$C147,0),IF($D147="Per half jaar",IF(MOD(3-$W147,6)=0,$C147,0),IF($D147="Per kwartaal",IF(MOD(3-$W147,3)=0,$C147,0),$F147))))))</f>
        <v/>
      </c>
      <c r="N147" s="107" t="str">
        <f aca="false">IF($C147="","",IF(Dashboard!$C$4="Gemiddeld per maand",$F147,IF(OR($D147="Per maand",$D147="Per week",$D147=""),$F147,IF($D147="Per jaar",IF(4=$W147,$C147,0),IF($D147="Per half jaar",IF(MOD(4-$W147,6)=0,$C147,0),IF($D147="Per kwartaal",IF(MOD(4-$W147,3)=0,$C147,0),$F147))))))</f>
        <v/>
      </c>
      <c r="O147" s="107" t="str">
        <f aca="false">IF($C147="","",IF(Dashboard!$C$4="Gemiddeld per maand",$F147,IF(OR($D147="Per maand",$D147="Per week",$D147=""),$F147,IF($D147="Per jaar",IF(5=$W147,$C147,0),IF($D147="Per half jaar",IF(MOD(5-$W147,6)=0,$C147,0),IF($D147="Per kwartaal",IF(MOD(5-$W147,3)=0,$C147,0),$F147))))))</f>
        <v/>
      </c>
      <c r="P147" s="107" t="str">
        <f aca="false">IF($C147="","",IF(Dashboard!$C$4="Gemiddeld per maand",$F147,IF(OR($D147="Per maand",$D147="Per week",$D147=""),$F147,IF($D147="Per jaar",IF(6=$W147,$C147,0),IF($D147="Per half jaar",IF(MOD(6-$W147,6)=0,$C147,0),IF($D147="Per kwartaal",IF(MOD(6-$W147,3)=0,$C147,0),$F147))))))</f>
        <v/>
      </c>
      <c r="Q147" s="107" t="str">
        <f aca="false">IF($C147="","",IF(Dashboard!$C$4="Gemiddeld per maand",$F147,IF(OR($D147="Per maand",$D147="Per week",$D147=""),$F147,IF($D147="Per jaar",IF(7=$W147,$C147,0),IF($D147="Per half jaar",IF(MOD(7-$W147,6)=0,$C147,0),IF($D147="Per kwartaal",IF(MOD(7-$W147,3)=0,$C147,0),$F147))))))</f>
        <v/>
      </c>
      <c r="R147" s="107" t="str">
        <f aca="false">IF($C147="","",IF(Dashboard!$C$4="Gemiddeld per maand",$F147,IF(OR($D147="Per maand",$D147="Per week",$D147=""),$F147,IF($D147="Per jaar",IF(8=$W147,$C147,0),IF($D147="Per half jaar",IF(MOD(8-$W147,6)=0,$C147,0),IF($D147="Per kwartaal",IF(MOD(8-$W147,3)=0,$C147,0),$F147))))))</f>
        <v/>
      </c>
      <c r="S147" s="107" t="str">
        <f aca="false">IF($C147="","",IF(Dashboard!$C$4="Gemiddeld per maand",$F147,IF(OR($D147="Per maand",$D147="Per week",$D147=""),$F147,IF($D147="Per jaar",IF(9=$W147,$C147,0),IF($D147="Per half jaar",IF(MOD(9-$W147,6)=0,$C147,0),IF($D147="Per kwartaal",IF(MOD(9-$W147,3)=0,$C147,0),$F147))))))</f>
        <v/>
      </c>
      <c r="T147" s="107" t="str">
        <f aca="false">IF($C147="","",IF(Dashboard!$C$4="Gemiddeld per maand",$F147,IF(OR($D147="Per maand",$D147="Per week",$D147=""),$F147,IF($D147="Per jaar",IF(10=$W147,$C147,0),IF($D147="Per half jaar",IF(MOD(10-$W147,6)=0,$C147,0),IF($D147="Per kwartaal",IF(MOD(10-$W147,3)=0,$C147,0),$F147))))))</f>
        <v/>
      </c>
      <c r="U147" s="107" t="str">
        <f aca="false">IF($C147="","",IF(Dashboard!$C$4="Gemiddeld per maand",$F147,IF(OR($D147="Per maand",$D147="Per week",$D147=""),$F147,IF($D147="Per jaar",IF(11=$W147,$C147,0),IF($D147="Per half jaar",IF(MOD(11-$W147,6)=0,$C147,0),IF($D147="Per kwartaal",IF(MOD(11-$W147,3)=0,$C147,0),$F147))))))</f>
        <v/>
      </c>
      <c r="V147" s="107" t="str">
        <f aca="false">IF($C147="","",IF(Dashboard!$C$4="Gemiddeld per maand",$F147,IF(OR($D147="Per maand",$D147="Per week",$D147=""),$F147,IF($D147="Per jaar",IF(12=$W147,$C147,0),IF($D147="Per half jaar",IF(MOD(12-$W147,6)=0,$C147,0),IF($D147="Per kwartaal",IF(MOD(12-$W147,3)=0,$C147,0),$F147))))))</f>
        <v/>
      </c>
      <c r="W147" s="15" t="n">
        <f aca="false">IF($E147="",1,IFERROR(MATCH($E147,Lijsten!$K$6:$K$17,0),1))</f>
        <v>1</v>
      </c>
    </row>
    <row r="148" customFormat="false" ht="15" hidden="false" customHeight="false" outlineLevel="0" collapsed="false">
      <c r="A148" s="102"/>
      <c r="B148" s="102"/>
      <c r="C148" s="92"/>
      <c r="D148" s="102"/>
      <c r="E148" s="103"/>
      <c r="F148" s="104" t="str">
        <f aca="false">IF($C148="","",IF($D148="Per jaar",$C148/12,IF($D148="Per kwartaal",$C148/3,IF($D148="Per half jaar",$C148/6,IF($D148="Per week",$C148*52/12,$C148)))))</f>
        <v/>
      </c>
      <c r="G148" s="102"/>
      <c r="H148" s="103"/>
      <c r="I148" s="105"/>
      <c r="J148" s="106" t="str">
        <f aca="false">IF($C148="","",IF(Dashboard!$C$4="Gemiddeld per maand",$F148,IF(OR($D148="Per maand",$D148="Per week",$D148=""),$F148,IF($D148="Per jaar",IF(Dashboard!$N$2=$W148,$C148,0),IF($D148="Per half jaar",IF(MOD(Dashboard!$N$2-$W148,6)=0,$C148,0),IF($D148="Per kwartaal",IF(MOD(Dashboard!$N$2-$W148,3)=0,$C148,0),$F148))))))</f>
        <v/>
      </c>
      <c r="K148" s="107" t="str">
        <f aca="false">IF($C148="","",IF(Dashboard!$C$4="Gemiddeld per maand",$F148,IF(OR($D148="Per maand",$D148="Per week",$D148=""),$F148,IF($D148="Per jaar",IF(1=$W148,$C148,0),IF($D148="Per half jaar",IF(MOD(1-$W148,6)=0,$C148,0),IF($D148="Per kwartaal",IF(MOD(1-$W148,3)=0,$C148,0),$F148))))))</f>
        <v/>
      </c>
      <c r="L148" s="107" t="str">
        <f aca="false">IF($C148="","",IF(Dashboard!$C$4="Gemiddeld per maand",$F148,IF(OR($D148="Per maand",$D148="Per week",$D148=""),$F148,IF($D148="Per jaar",IF(2=$W148,$C148,0),IF($D148="Per half jaar",IF(MOD(2-$W148,6)=0,$C148,0),IF($D148="Per kwartaal",IF(MOD(2-$W148,3)=0,$C148,0),$F148))))))</f>
        <v/>
      </c>
      <c r="M148" s="107" t="str">
        <f aca="false">IF($C148="","",IF(Dashboard!$C$4="Gemiddeld per maand",$F148,IF(OR($D148="Per maand",$D148="Per week",$D148=""),$F148,IF($D148="Per jaar",IF(3=$W148,$C148,0),IF($D148="Per half jaar",IF(MOD(3-$W148,6)=0,$C148,0),IF($D148="Per kwartaal",IF(MOD(3-$W148,3)=0,$C148,0),$F148))))))</f>
        <v/>
      </c>
      <c r="N148" s="107" t="str">
        <f aca="false">IF($C148="","",IF(Dashboard!$C$4="Gemiddeld per maand",$F148,IF(OR($D148="Per maand",$D148="Per week",$D148=""),$F148,IF($D148="Per jaar",IF(4=$W148,$C148,0),IF($D148="Per half jaar",IF(MOD(4-$W148,6)=0,$C148,0),IF($D148="Per kwartaal",IF(MOD(4-$W148,3)=0,$C148,0),$F148))))))</f>
        <v/>
      </c>
      <c r="O148" s="107" t="str">
        <f aca="false">IF($C148="","",IF(Dashboard!$C$4="Gemiddeld per maand",$F148,IF(OR($D148="Per maand",$D148="Per week",$D148=""),$F148,IF($D148="Per jaar",IF(5=$W148,$C148,0),IF($D148="Per half jaar",IF(MOD(5-$W148,6)=0,$C148,0),IF($D148="Per kwartaal",IF(MOD(5-$W148,3)=0,$C148,0),$F148))))))</f>
        <v/>
      </c>
      <c r="P148" s="107" t="str">
        <f aca="false">IF($C148="","",IF(Dashboard!$C$4="Gemiddeld per maand",$F148,IF(OR($D148="Per maand",$D148="Per week",$D148=""),$F148,IF($D148="Per jaar",IF(6=$W148,$C148,0),IF($D148="Per half jaar",IF(MOD(6-$W148,6)=0,$C148,0),IF($D148="Per kwartaal",IF(MOD(6-$W148,3)=0,$C148,0),$F148))))))</f>
        <v/>
      </c>
      <c r="Q148" s="107" t="str">
        <f aca="false">IF($C148="","",IF(Dashboard!$C$4="Gemiddeld per maand",$F148,IF(OR($D148="Per maand",$D148="Per week",$D148=""),$F148,IF($D148="Per jaar",IF(7=$W148,$C148,0),IF($D148="Per half jaar",IF(MOD(7-$W148,6)=0,$C148,0),IF($D148="Per kwartaal",IF(MOD(7-$W148,3)=0,$C148,0),$F148))))))</f>
        <v/>
      </c>
      <c r="R148" s="107" t="str">
        <f aca="false">IF($C148="","",IF(Dashboard!$C$4="Gemiddeld per maand",$F148,IF(OR($D148="Per maand",$D148="Per week",$D148=""),$F148,IF($D148="Per jaar",IF(8=$W148,$C148,0),IF($D148="Per half jaar",IF(MOD(8-$W148,6)=0,$C148,0),IF($D148="Per kwartaal",IF(MOD(8-$W148,3)=0,$C148,0),$F148))))))</f>
        <v/>
      </c>
      <c r="S148" s="107" t="str">
        <f aca="false">IF($C148="","",IF(Dashboard!$C$4="Gemiddeld per maand",$F148,IF(OR($D148="Per maand",$D148="Per week",$D148=""),$F148,IF($D148="Per jaar",IF(9=$W148,$C148,0),IF($D148="Per half jaar",IF(MOD(9-$W148,6)=0,$C148,0),IF($D148="Per kwartaal",IF(MOD(9-$W148,3)=0,$C148,0),$F148))))))</f>
        <v/>
      </c>
      <c r="T148" s="107" t="str">
        <f aca="false">IF($C148="","",IF(Dashboard!$C$4="Gemiddeld per maand",$F148,IF(OR($D148="Per maand",$D148="Per week",$D148=""),$F148,IF($D148="Per jaar",IF(10=$W148,$C148,0),IF($D148="Per half jaar",IF(MOD(10-$W148,6)=0,$C148,0),IF($D148="Per kwartaal",IF(MOD(10-$W148,3)=0,$C148,0),$F148))))))</f>
        <v/>
      </c>
      <c r="U148" s="107" t="str">
        <f aca="false">IF($C148="","",IF(Dashboard!$C$4="Gemiddeld per maand",$F148,IF(OR($D148="Per maand",$D148="Per week",$D148=""),$F148,IF($D148="Per jaar",IF(11=$W148,$C148,0),IF($D148="Per half jaar",IF(MOD(11-$W148,6)=0,$C148,0),IF($D148="Per kwartaal",IF(MOD(11-$W148,3)=0,$C148,0),$F148))))))</f>
        <v/>
      </c>
      <c r="V148" s="107" t="str">
        <f aca="false">IF($C148="","",IF(Dashboard!$C$4="Gemiddeld per maand",$F148,IF(OR($D148="Per maand",$D148="Per week",$D148=""),$F148,IF($D148="Per jaar",IF(12=$W148,$C148,0),IF($D148="Per half jaar",IF(MOD(12-$W148,6)=0,$C148,0),IF($D148="Per kwartaal",IF(MOD(12-$W148,3)=0,$C148,0),$F148))))))</f>
        <v/>
      </c>
      <c r="W148" s="15" t="n">
        <f aca="false">IF($E148="",1,IFERROR(MATCH($E148,Lijsten!$K$6:$K$17,0),1))</f>
        <v>1</v>
      </c>
    </row>
    <row r="149" customFormat="false" ht="15" hidden="false" customHeight="false" outlineLevel="0" collapsed="false">
      <c r="A149" s="102"/>
      <c r="B149" s="102"/>
      <c r="C149" s="92"/>
      <c r="D149" s="102"/>
      <c r="E149" s="103"/>
      <c r="F149" s="104" t="str">
        <f aca="false">IF($C149="","",IF($D149="Per jaar",$C149/12,IF($D149="Per kwartaal",$C149/3,IF($D149="Per half jaar",$C149/6,IF($D149="Per week",$C149*52/12,$C149)))))</f>
        <v/>
      </c>
      <c r="G149" s="102"/>
      <c r="H149" s="103"/>
      <c r="I149" s="105"/>
      <c r="J149" s="106" t="str">
        <f aca="false">IF($C149="","",IF(Dashboard!$C$4="Gemiddeld per maand",$F149,IF(OR($D149="Per maand",$D149="Per week",$D149=""),$F149,IF($D149="Per jaar",IF(Dashboard!$N$2=$W149,$C149,0),IF($D149="Per half jaar",IF(MOD(Dashboard!$N$2-$W149,6)=0,$C149,0),IF($D149="Per kwartaal",IF(MOD(Dashboard!$N$2-$W149,3)=0,$C149,0),$F149))))))</f>
        <v/>
      </c>
      <c r="K149" s="107" t="str">
        <f aca="false">IF($C149="","",IF(Dashboard!$C$4="Gemiddeld per maand",$F149,IF(OR($D149="Per maand",$D149="Per week",$D149=""),$F149,IF($D149="Per jaar",IF(1=$W149,$C149,0),IF($D149="Per half jaar",IF(MOD(1-$W149,6)=0,$C149,0),IF($D149="Per kwartaal",IF(MOD(1-$W149,3)=0,$C149,0),$F149))))))</f>
        <v/>
      </c>
      <c r="L149" s="107" t="str">
        <f aca="false">IF($C149="","",IF(Dashboard!$C$4="Gemiddeld per maand",$F149,IF(OR($D149="Per maand",$D149="Per week",$D149=""),$F149,IF($D149="Per jaar",IF(2=$W149,$C149,0),IF($D149="Per half jaar",IF(MOD(2-$W149,6)=0,$C149,0),IF($D149="Per kwartaal",IF(MOD(2-$W149,3)=0,$C149,0),$F149))))))</f>
        <v/>
      </c>
      <c r="M149" s="107" t="str">
        <f aca="false">IF($C149="","",IF(Dashboard!$C$4="Gemiddeld per maand",$F149,IF(OR($D149="Per maand",$D149="Per week",$D149=""),$F149,IF($D149="Per jaar",IF(3=$W149,$C149,0),IF($D149="Per half jaar",IF(MOD(3-$W149,6)=0,$C149,0),IF($D149="Per kwartaal",IF(MOD(3-$W149,3)=0,$C149,0),$F149))))))</f>
        <v/>
      </c>
      <c r="N149" s="107" t="str">
        <f aca="false">IF($C149="","",IF(Dashboard!$C$4="Gemiddeld per maand",$F149,IF(OR($D149="Per maand",$D149="Per week",$D149=""),$F149,IF($D149="Per jaar",IF(4=$W149,$C149,0),IF($D149="Per half jaar",IF(MOD(4-$W149,6)=0,$C149,0),IF($D149="Per kwartaal",IF(MOD(4-$W149,3)=0,$C149,0),$F149))))))</f>
        <v/>
      </c>
      <c r="O149" s="107" t="str">
        <f aca="false">IF($C149="","",IF(Dashboard!$C$4="Gemiddeld per maand",$F149,IF(OR($D149="Per maand",$D149="Per week",$D149=""),$F149,IF($D149="Per jaar",IF(5=$W149,$C149,0),IF($D149="Per half jaar",IF(MOD(5-$W149,6)=0,$C149,0),IF($D149="Per kwartaal",IF(MOD(5-$W149,3)=0,$C149,0),$F149))))))</f>
        <v/>
      </c>
      <c r="P149" s="107" t="str">
        <f aca="false">IF($C149="","",IF(Dashboard!$C$4="Gemiddeld per maand",$F149,IF(OR($D149="Per maand",$D149="Per week",$D149=""),$F149,IF($D149="Per jaar",IF(6=$W149,$C149,0),IF($D149="Per half jaar",IF(MOD(6-$W149,6)=0,$C149,0),IF($D149="Per kwartaal",IF(MOD(6-$W149,3)=0,$C149,0),$F149))))))</f>
        <v/>
      </c>
      <c r="Q149" s="107" t="str">
        <f aca="false">IF($C149="","",IF(Dashboard!$C$4="Gemiddeld per maand",$F149,IF(OR($D149="Per maand",$D149="Per week",$D149=""),$F149,IF($D149="Per jaar",IF(7=$W149,$C149,0),IF($D149="Per half jaar",IF(MOD(7-$W149,6)=0,$C149,0),IF($D149="Per kwartaal",IF(MOD(7-$W149,3)=0,$C149,0),$F149))))))</f>
        <v/>
      </c>
      <c r="R149" s="107" t="str">
        <f aca="false">IF($C149="","",IF(Dashboard!$C$4="Gemiddeld per maand",$F149,IF(OR($D149="Per maand",$D149="Per week",$D149=""),$F149,IF($D149="Per jaar",IF(8=$W149,$C149,0),IF($D149="Per half jaar",IF(MOD(8-$W149,6)=0,$C149,0),IF($D149="Per kwartaal",IF(MOD(8-$W149,3)=0,$C149,0),$F149))))))</f>
        <v/>
      </c>
      <c r="S149" s="107" t="str">
        <f aca="false">IF($C149="","",IF(Dashboard!$C$4="Gemiddeld per maand",$F149,IF(OR($D149="Per maand",$D149="Per week",$D149=""),$F149,IF($D149="Per jaar",IF(9=$W149,$C149,0),IF($D149="Per half jaar",IF(MOD(9-$W149,6)=0,$C149,0),IF($D149="Per kwartaal",IF(MOD(9-$W149,3)=0,$C149,0),$F149))))))</f>
        <v/>
      </c>
      <c r="T149" s="107" t="str">
        <f aca="false">IF($C149="","",IF(Dashboard!$C$4="Gemiddeld per maand",$F149,IF(OR($D149="Per maand",$D149="Per week",$D149=""),$F149,IF($D149="Per jaar",IF(10=$W149,$C149,0),IF($D149="Per half jaar",IF(MOD(10-$W149,6)=0,$C149,0),IF($D149="Per kwartaal",IF(MOD(10-$W149,3)=0,$C149,0),$F149))))))</f>
        <v/>
      </c>
      <c r="U149" s="107" t="str">
        <f aca="false">IF($C149="","",IF(Dashboard!$C$4="Gemiddeld per maand",$F149,IF(OR($D149="Per maand",$D149="Per week",$D149=""),$F149,IF($D149="Per jaar",IF(11=$W149,$C149,0),IF($D149="Per half jaar",IF(MOD(11-$W149,6)=0,$C149,0),IF($D149="Per kwartaal",IF(MOD(11-$W149,3)=0,$C149,0),$F149))))))</f>
        <v/>
      </c>
      <c r="V149" s="107" t="str">
        <f aca="false">IF($C149="","",IF(Dashboard!$C$4="Gemiddeld per maand",$F149,IF(OR($D149="Per maand",$D149="Per week",$D149=""),$F149,IF($D149="Per jaar",IF(12=$W149,$C149,0),IF($D149="Per half jaar",IF(MOD(12-$W149,6)=0,$C149,0),IF($D149="Per kwartaal",IF(MOD(12-$W149,3)=0,$C149,0),$F149))))))</f>
        <v/>
      </c>
      <c r="W149" s="15" t="n">
        <f aca="false">IF($E149="",1,IFERROR(MATCH($E149,Lijsten!$K$6:$K$17,0),1))</f>
        <v>1</v>
      </c>
    </row>
    <row r="150" customFormat="false" ht="15" hidden="false" customHeight="false" outlineLevel="0" collapsed="false">
      <c r="A150" s="102"/>
      <c r="B150" s="102"/>
      <c r="C150" s="92"/>
      <c r="D150" s="102"/>
      <c r="E150" s="103"/>
      <c r="F150" s="104" t="str">
        <f aca="false">IF($C150="","",IF($D150="Per jaar",$C150/12,IF($D150="Per kwartaal",$C150/3,IF($D150="Per half jaar",$C150/6,IF($D150="Per week",$C150*52/12,$C150)))))</f>
        <v/>
      </c>
      <c r="G150" s="102"/>
      <c r="H150" s="103"/>
      <c r="I150" s="105"/>
      <c r="J150" s="106" t="str">
        <f aca="false">IF($C150="","",IF(Dashboard!$C$4="Gemiddeld per maand",$F150,IF(OR($D150="Per maand",$D150="Per week",$D150=""),$F150,IF($D150="Per jaar",IF(Dashboard!$N$2=$W150,$C150,0),IF($D150="Per half jaar",IF(MOD(Dashboard!$N$2-$W150,6)=0,$C150,0),IF($D150="Per kwartaal",IF(MOD(Dashboard!$N$2-$W150,3)=0,$C150,0),$F150))))))</f>
        <v/>
      </c>
      <c r="K150" s="107" t="str">
        <f aca="false">IF($C150="","",IF(Dashboard!$C$4="Gemiddeld per maand",$F150,IF(OR($D150="Per maand",$D150="Per week",$D150=""),$F150,IF($D150="Per jaar",IF(1=$W150,$C150,0),IF($D150="Per half jaar",IF(MOD(1-$W150,6)=0,$C150,0),IF($D150="Per kwartaal",IF(MOD(1-$W150,3)=0,$C150,0),$F150))))))</f>
        <v/>
      </c>
      <c r="L150" s="107" t="str">
        <f aca="false">IF($C150="","",IF(Dashboard!$C$4="Gemiddeld per maand",$F150,IF(OR($D150="Per maand",$D150="Per week",$D150=""),$F150,IF($D150="Per jaar",IF(2=$W150,$C150,0),IF($D150="Per half jaar",IF(MOD(2-$W150,6)=0,$C150,0),IF($D150="Per kwartaal",IF(MOD(2-$W150,3)=0,$C150,0),$F150))))))</f>
        <v/>
      </c>
      <c r="M150" s="107" t="str">
        <f aca="false">IF($C150="","",IF(Dashboard!$C$4="Gemiddeld per maand",$F150,IF(OR($D150="Per maand",$D150="Per week",$D150=""),$F150,IF($D150="Per jaar",IF(3=$W150,$C150,0),IF($D150="Per half jaar",IF(MOD(3-$W150,6)=0,$C150,0),IF($D150="Per kwartaal",IF(MOD(3-$W150,3)=0,$C150,0),$F150))))))</f>
        <v/>
      </c>
      <c r="N150" s="107" t="str">
        <f aca="false">IF($C150="","",IF(Dashboard!$C$4="Gemiddeld per maand",$F150,IF(OR($D150="Per maand",$D150="Per week",$D150=""),$F150,IF($D150="Per jaar",IF(4=$W150,$C150,0),IF($D150="Per half jaar",IF(MOD(4-$W150,6)=0,$C150,0),IF($D150="Per kwartaal",IF(MOD(4-$W150,3)=0,$C150,0),$F150))))))</f>
        <v/>
      </c>
      <c r="O150" s="107" t="str">
        <f aca="false">IF($C150="","",IF(Dashboard!$C$4="Gemiddeld per maand",$F150,IF(OR($D150="Per maand",$D150="Per week",$D150=""),$F150,IF($D150="Per jaar",IF(5=$W150,$C150,0),IF($D150="Per half jaar",IF(MOD(5-$W150,6)=0,$C150,0),IF($D150="Per kwartaal",IF(MOD(5-$W150,3)=0,$C150,0),$F150))))))</f>
        <v/>
      </c>
      <c r="P150" s="107" t="str">
        <f aca="false">IF($C150="","",IF(Dashboard!$C$4="Gemiddeld per maand",$F150,IF(OR($D150="Per maand",$D150="Per week",$D150=""),$F150,IF($D150="Per jaar",IF(6=$W150,$C150,0),IF($D150="Per half jaar",IF(MOD(6-$W150,6)=0,$C150,0),IF($D150="Per kwartaal",IF(MOD(6-$W150,3)=0,$C150,0),$F150))))))</f>
        <v/>
      </c>
      <c r="Q150" s="107" t="str">
        <f aca="false">IF($C150="","",IF(Dashboard!$C$4="Gemiddeld per maand",$F150,IF(OR($D150="Per maand",$D150="Per week",$D150=""),$F150,IF($D150="Per jaar",IF(7=$W150,$C150,0),IF($D150="Per half jaar",IF(MOD(7-$W150,6)=0,$C150,0),IF($D150="Per kwartaal",IF(MOD(7-$W150,3)=0,$C150,0),$F150))))))</f>
        <v/>
      </c>
      <c r="R150" s="107" t="str">
        <f aca="false">IF($C150="","",IF(Dashboard!$C$4="Gemiddeld per maand",$F150,IF(OR($D150="Per maand",$D150="Per week",$D150=""),$F150,IF($D150="Per jaar",IF(8=$W150,$C150,0),IF($D150="Per half jaar",IF(MOD(8-$W150,6)=0,$C150,0),IF($D150="Per kwartaal",IF(MOD(8-$W150,3)=0,$C150,0),$F150))))))</f>
        <v/>
      </c>
      <c r="S150" s="107" t="str">
        <f aca="false">IF($C150="","",IF(Dashboard!$C$4="Gemiddeld per maand",$F150,IF(OR($D150="Per maand",$D150="Per week",$D150=""),$F150,IF($D150="Per jaar",IF(9=$W150,$C150,0),IF($D150="Per half jaar",IF(MOD(9-$W150,6)=0,$C150,0),IF($D150="Per kwartaal",IF(MOD(9-$W150,3)=0,$C150,0),$F150))))))</f>
        <v/>
      </c>
      <c r="T150" s="107" t="str">
        <f aca="false">IF($C150="","",IF(Dashboard!$C$4="Gemiddeld per maand",$F150,IF(OR($D150="Per maand",$D150="Per week",$D150=""),$F150,IF($D150="Per jaar",IF(10=$W150,$C150,0),IF($D150="Per half jaar",IF(MOD(10-$W150,6)=0,$C150,0),IF($D150="Per kwartaal",IF(MOD(10-$W150,3)=0,$C150,0),$F150))))))</f>
        <v/>
      </c>
      <c r="U150" s="107" t="str">
        <f aca="false">IF($C150="","",IF(Dashboard!$C$4="Gemiddeld per maand",$F150,IF(OR($D150="Per maand",$D150="Per week",$D150=""),$F150,IF($D150="Per jaar",IF(11=$W150,$C150,0),IF($D150="Per half jaar",IF(MOD(11-$W150,6)=0,$C150,0),IF($D150="Per kwartaal",IF(MOD(11-$W150,3)=0,$C150,0),$F150))))))</f>
        <v/>
      </c>
      <c r="V150" s="107" t="str">
        <f aca="false">IF($C150="","",IF(Dashboard!$C$4="Gemiddeld per maand",$F150,IF(OR($D150="Per maand",$D150="Per week",$D150=""),$F150,IF($D150="Per jaar",IF(12=$W150,$C150,0),IF($D150="Per half jaar",IF(MOD(12-$W150,6)=0,$C150,0),IF($D150="Per kwartaal",IF(MOD(12-$W150,3)=0,$C150,0),$F150))))))</f>
        <v/>
      </c>
      <c r="W150" s="15" t="n">
        <f aca="false">IF($E150="",1,IFERROR(MATCH($E150,Lijsten!$K$6:$K$17,0),1))</f>
        <v>1</v>
      </c>
    </row>
    <row r="151" customFormat="false" ht="15" hidden="false" customHeight="false" outlineLevel="0" collapsed="false">
      <c r="A151" s="102"/>
      <c r="B151" s="102"/>
      <c r="C151" s="92"/>
      <c r="D151" s="102"/>
      <c r="E151" s="103"/>
      <c r="F151" s="104" t="str">
        <f aca="false">IF($C151="","",IF($D151="Per jaar",$C151/12,IF($D151="Per kwartaal",$C151/3,IF($D151="Per half jaar",$C151/6,IF($D151="Per week",$C151*52/12,$C151)))))</f>
        <v/>
      </c>
      <c r="G151" s="102"/>
      <c r="H151" s="103"/>
      <c r="I151" s="105"/>
      <c r="J151" s="106" t="str">
        <f aca="false">IF($C151="","",IF(Dashboard!$C$4="Gemiddeld per maand",$F151,IF(OR($D151="Per maand",$D151="Per week",$D151=""),$F151,IF($D151="Per jaar",IF(Dashboard!$N$2=$W151,$C151,0),IF($D151="Per half jaar",IF(MOD(Dashboard!$N$2-$W151,6)=0,$C151,0),IF($D151="Per kwartaal",IF(MOD(Dashboard!$N$2-$W151,3)=0,$C151,0),$F151))))))</f>
        <v/>
      </c>
      <c r="K151" s="107" t="str">
        <f aca="false">IF($C151="","",IF(Dashboard!$C$4="Gemiddeld per maand",$F151,IF(OR($D151="Per maand",$D151="Per week",$D151=""),$F151,IF($D151="Per jaar",IF(1=$W151,$C151,0),IF($D151="Per half jaar",IF(MOD(1-$W151,6)=0,$C151,0),IF($D151="Per kwartaal",IF(MOD(1-$W151,3)=0,$C151,0),$F151))))))</f>
        <v/>
      </c>
      <c r="L151" s="107" t="str">
        <f aca="false">IF($C151="","",IF(Dashboard!$C$4="Gemiddeld per maand",$F151,IF(OR($D151="Per maand",$D151="Per week",$D151=""),$F151,IF($D151="Per jaar",IF(2=$W151,$C151,0),IF($D151="Per half jaar",IF(MOD(2-$W151,6)=0,$C151,0),IF($D151="Per kwartaal",IF(MOD(2-$W151,3)=0,$C151,0),$F151))))))</f>
        <v/>
      </c>
      <c r="M151" s="107" t="str">
        <f aca="false">IF($C151="","",IF(Dashboard!$C$4="Gemiddeld per maand",$F151,IF(OR($D151="Per maand",$D151="Per week",$D151=""),$F151,IF($D151="Per jaar",IF(3=$W151,$C151,0),IF($D151="Per half jaar",IF(MOD(3-$W151,6)=0,$C151,0),IF($D151="Per kwartaal",IF(MOD(3-$W151,3)=0,$C151,0),$F151))))))</f>
        <v/>
      </c>
      <c r="N151" s="107" t="str">
        <f aca="false">IF($C151="","",IF(Dashboard!$C$4="Gemiddeld per maand",$F151,IF(OR($D151="Per maand",$D151="Per week",$D151=""),$F151,IF($D151="Per jaar",IF(4=$W151,$C151,0),IF($D151="Per half jaar",IF(MOD(4-$W151,6)=0,$C151,0),IF($D151="Per kwartaal",IF(MOD(4-$W151,3)=0,$C151,0),$F151))))))</f>
        <v/>
      </c>
      <c r="O151" s="107" t="str">
        <f aca="false">IF($C151="","",IF(Dashboard!$C$4="Gemiddeld per maand",$F151,IF(OR($D151="Per maand",$D151="Per week",$D151=""),$F151,IF($D151="Per jaar",IF(5=$W151,$C151,0),IF($D151="Per half jaar",IF(MOD(5-$W151,6)=0,$C151,0),IF($D151="Per kwartaal",IF(MOD(5-$W151,3)=0,$C151,0),$F151))))))</f>
        <v/>
      </c>
      <c r="P151" s="107" t="str">
        <f aca="false">IF($C151="","",IF(Dashboard!$C$4="Gemiddeld per maand",$F151,IF(OR($D151="Per maand",$D151="Per week",$D151=""),$F151,IF($D151="Per jaar",IF(6=$W151,$C151,0),IF($D151="Per half jaar",IF(MOD(6-$W151,6)=0,$C151,0),IF($D151="Per kwartaal",IF(MOD(6-$W151,3)=0,$C151,0),$F151))))))</f>
        <v/>
      </c>
      <c r="Q151" s="107" t="str">
        <f aca="false">IF($C151="","",IF(Dashboard!$C$4="Gemiddeld per maand",$F151,IF(OR($D151="Per maand",$D151="Per week",$D151=""),$F151,IF($D151="Per jaar",IF(7=$W151,$C151,0),IF($D151="Per half jaar",IF(MOD(7-$W151,6)=0,$C151,0),IF($D151="Per kwartaal",IF(MOD(7-$W151,3)=0,$C151,0),$F151))))))</f>
        <v/>
      </c>
      <c r="R151" s="107" t="str">
        <f aca="false">IF($C151="","",IF(Dashboard!$C$4="Gemiddeld per maand",$F151,IF(OR($D151="Per maand",$D151="Per week",$D151=""),$F151,IF($D151="Per jaar",IF(8=$W151,$C151,0),IF($D151="Per half jaar",IF(MOD(8-$W151,6)=0,$C151,0),IF($D151="Per kwartaal",IF(MOD(8-$W151,3)=0,$C151,0),$F151))))))</f>
        <v/>
      </c>
      <c r="S151" s="107" t="str">
        <f aca="false">IF($C151="","",IF(Dashboard!$C$4="Gemiddeld per maand",$F151,IF(OR($D151="Per maand",$D151="Per week",$D151=""),$F151,IF($D151="Per jaar",IF(9=$W151,$C151,0),IF($D151="Per half jaar",IF(MOD(9-$W151,6)=0,$C151,0),IF($D151="Per kwartaal",IF(MOD(9-$W151,3)=0,$C151,0),$F151))))))</f>
        <v/>
      </c>
      <c r="T151" s="107" t="str">
        <f aca="false">IF($C151="","",IF(Dashboard!$C$4="Gemiddeld per maand",$F151,IF(OR($D151="Per maand",$D151="Per week",$D151=""),$F151,IF($D151="Per jaar",IF(10=$W151,$C151,0),IF($D151="Per half jaar",IF(MOD(10-$W151,6)=0,$C151,0),IF($D151="Per kwartaal",IF(MOD(10-$W151,3)=0,$C151,0),$F151))))))</f>
        <v/>
      </c>
      <c r="U151" s="107" t="str">
        <f aca="false">IF($C151="","",IF(Dashboard!$C$4="Gemiddeld per maand",$F151,IF(OR($D151="Per maand",$D151="Per week",$D151=""),$F151,IF($D151="Per jaar",IF(11=$W151,$C151,0),IF($D151="Per half jaar",IF(MOD(11-$W151,6)=0,$C151,0),IF($D151="Per kwartaal",IF(MOD(11-$W151,3)=0,$C151,0),$F151))))))</f>
        <v/>
      </c>
      <c r="V151" s="107" t="str">
        <f aca="false">IF($C151="","",IF(Dashboard!$C$4="Gemiddeld per maand",$F151,IF(OR($D151="Per maand",$D151="Per week",$D151=""),$F151,IF($D151="Per jaar",IF(12=$W151,$C151,0),IF($D151="Per half jaar",IF(MOD(12-$W151,6)=0,$C151,0),IF($D151="Per kwartaal",IF(MOD(12-$W151,3)=0,$C151,0),$F151))))))</f>
        <v/>
      </c>
      <c r="W151" s="15" t="n">
        <f aca="false">IF($E151="",1,IFERROR(MATCH($E151,Lijsten!$K$6:$K$17,0),1))</f>
        <v>1</v>
      </c>
    </row>
    <row r="152" customFormat="false" ht="15" hidden="false" customHeight="false" outlineLevel="0" collapsed="false">
      <c r="A152" s="102"/>
      <c r="B152" s="102"/>
      <c r="C152" s="92"/>
      <c r="D152" s="102"/>
      <c r="E152" s="103"/>
      <c r="F152" s="104" t="str">
        <f aca="false">IF($C152="","",IF($D152="Per jaar",$C152/12,IF($D152="Per kwartaal",$C152/3,IF($D152="Per half jaar",$C152/6,IF($D152="Per week",$C152*52/12,$C152)))))</f>
        <v/>
      </c>
      <c r="G152" s="102"/>
      <c r="H152" s="103"/>
      <c r="I152" s="105"/>
      <c r="J152" s="106" t="str">
        <f aca="false">IF($C152="","",IF(Dashboard!$C$4="Gemiddeld per maand",$F152,IF(OR($D152="Per maand",$D152="Per week",$D152=""),$F152,IF($D152="Per jaar",IF(Dashboard!$N$2=$W152,$C152,0),IF($D152="Per half jaar",IF(MOD(Dashboard!$N$2-$W152,6)=0,$C152,0),IF($D152="Per kwartaal",IF(MOD(Dashboard!$N$2-$W152,3)=0,$C152,0),$F152))))))</f>
        <v/>
      </c>
      <c r="K152" s="107" t="str">
        <f aca="false">IF($C152="","",IF(Dashboard!$C$4="Gemiddeld per maand",$F152,IF(OR($D152="Per maand",$D152="Per week",$D152=""),$F152,IF($D152="Per jaar",IF(1=$W152,$C152,0),IF($D152="Per half jaar",IF(MOD(1-$W152,6)=0,$C152,0),IF($D152="Per kwartaal",IF(MOD(1-$W152,3)=0,$C152,0),$F152))))))</f>
        <v/>
      </c>
      <c r="L152" s="107" t="str">
        <f aca="false">IF($C152="","",IF(Dashboard!$C$4="Gemiddeld per maand",$F152,IF(OR($D152="Per maand",$D152="Per week",$D152=""),$F152,IF($D152="Per jaar",IF(2=$W152,$C152,0),IF($D152="Per half jaar",IF(MOD(2-$W152,6)=0,$C152,0),IF($D152="Per kwartaal",IF(MOD(2-$W152,3)=0,$C152,0),$F152))))))</f>
        <v/>
      </c>
      <c r="M152" s="107" t="str">
        <f aca="false">IF($C152="","",IF(Dashboard!$C$4="Gemiddeld per maand",$F152,IF(OR($D152="Per maand",$D152="Per week",$D152=""),$F152,IF($D152="Per jaar",IF(3=$W152,$C152,0),IF($D152="Per half jaar",IF(MOD(3-$W152,6)=0,$C152,0),IF($D152="Per kwartaal",IF(MOD(3-$W152,3)=0,$C152,0),$F152))))))</f>
        <v/>
      </c>
      <c r="N152" s="107" t="str">
        <f aca="false">IF($C152="","",IF(Dashboard!$C$4="Gemiddeld per maand",$F152,IF(OR($D152="Per maand",$D152="Per week",$D152=""),$F152,IF($D152="Per jaar",IF(4=$W152,$C152,0),IF($D152="Per half jaar",IF(MOD(4-$W152,6)=0,$C152,0),IF($D152="Per kwartaal",IF(MOD(4-$W152,3)=0,$C152,0),$F152))))))</f>
        <v/>
      </c>
      <c r="O152" s="107" t="str">
        <f aca="false">IF($C152="","",IF(Dashboard!$C$4="Gemiddeld per maand",$F152,IF(OR($D152="Per maand",$D152="Per week",$D152=""),$F152,IF($D152="Per jaar",IF(5=$W152,$C152,0),IF($D152="Per half jaar",IF(MOD(5-$W152,6)=0,$C152,0),IF($D152="Per kwartaal",IF(MOD(5-$W152,3)=0,$C152,0),$F152))))))</f>
        <v/>
      </c>
      <c r="P152" s="107" t="str">
        <f aca="false">IF($C152="","",IF(Dashboard!$C$4="Gemiddeld per maand",$F152,IF(OR($D152="Per maand",$D152="Per week",$D152=""),$F152,IF($D152="Per jaar",IF(6=$W152,$C152,0),IF($D152="Per half jaar",IF(MOD(6-$W152,6)=0,$C152,0),IF($D152="Per kwartaal",IF(MOD(6-$W152,3)=0,$C152,0),$F152))))))</f>
        <v/>
      </c>
      <c r="Q152" s="107" t="str">
        <f aca="false">IF($C152="","",IF(Dashboard!$C$4="Gemiddeld per maand",$F152,IF(OR($D152="Per maand",$D152="Per week",$D152=""),$F152,IF($D152="Per jaar",IF(7=$W152,$C152,0),IF($D152="Per half jaar",IF(MOD(7-$W152,6)=0,$C152,0),IF($D152="Per kwartaal",IF(MOD(7-$W152,3)=0,$C152,0),$F152))))))</f>
        <v/>
      </c>
      <c r="R152" s="107" t="str">
        <f aca="false">IF($C152="","",IF(Dashboard!$C$4="Gemiddeld per maand",$F152,IF(OR($D152="Per maand",$D152="Per week",$D152=""),$F152,IF($D152="Per jaar",IF(8=$W152,$C152,0),IF($D152="Per half jaar",IF(MOD(8-$W152,6)=0,$C152,0),IF($D152="Per kwartaal",IF(MOD(8-$W152,3)=0,$C152,0),$F152))))))</f>
        <v/>
      </c>
      <c r="S152" s="107" t="str">
        <f aca="false">IF($C152="","",IF(Dashboard!$C$4="Gemiddeld per maand",$F152,IF(OR($D152="Per maand",$D152="Per week",$D152=""),$F152,IF($D152="Per jaar",IF(9=$W152,$C152,0),IF($D152="Per half jaar",IF(MOD(9-$W152,6)=0,$C152,0),IF($D152="Per kwartaal",IF(MOD(9-$W152,3)=0,$C152,0),$F152))))))</f>
        <v/>
      </c>
      <c r="T152" s="107" t="str">
        <f aca="false">IF($C152="","",IF(Dashboard!$C$4="Gemiddeld per maand",$F152,IF(OR($D152="Per maand",$D152="Per week",$D152=""),$F152,IF($D152="Per jaar",IF(10=$W152,$C152,0),IF($D152="Per half jaar",IF(MOD(10-$W152,6)=0,$C152,0),IF($D152="Per kwartaal",IF(MOD(10-$W152,3)=0,$C152,0),$F152))))))</f>
        <v/>
      </c>
      <c r="U152" s="107" t="str">
        <f aca="false">IF($C152="","",IF(Dashboard!$C$4="Gemiddeld per maand",$F152,IF(OR($D152="Per maand",$D152="Per week",$D152=""),$F152,IF($D152="Per jaar",IF(11=$W152,$C152,0),IF($D152="Per half jaar",IF(MOD(11-$W152,6)=0,$C152,0),IF($D152="Per kwartaal",IF(MOD(11-$W152,3)=0,$C152,0),$F152))))))</f>
        <v/>
      </c>
      <c r="V152" s="107" t="str">
        <f aca="false">IF($C152="","",IF(Dashboard!$C$4="Gemiddeld per maand",$F152,IF(OR($D152="Per maand",$D152="Per week",$D152=""),$F152,IF($D152="Per jaar",IF(12=$W152,$C152,0),IF($D152="Per half jaar",IF(MOD(12-$W152,6)=0,$C152,0),IF($D152="Per kwartaal",IF(MOD(12-$W152,3)=0,$C152,0),$F152))))))</f>
        <v/>
      </c>
      <c r="W152" s="15" t="n">
        <f aca="false">IF($E152="",1,IFERROR(MATCH($E152,Lijsten!$K$6:$K$17,0),1))</f>
        <v>1</v>
      </c>
    </row>
    <row r="153" customFormat="false" ht="15" hidden="false" customHeight="false" outlineLevel="0" collapsed="false">
      <c r="A153" s="102"/>
      <c r="B153" s="102"/>
      <c r="C153" s="92"/>
      <c r="D153" s="102"/>
      <c r="E153" s="103"/>
      <c r="F153" s="104" t="str">
        <f aca="false">IF($C153="","",IF($D153="Per jaar",$C153/12,IF($D153="Per kwartaal",$C153/3,IF($D153="Per half jaar",$C153/6,IF($D153="Per week",$C153*52/12,$C153)))))</f>
        <v/>
      </c>
      <c r="G153" s="102"/>
      <c r="H153" s="103"/>
      <c r="I153" s="105"/>
      <c r="J153" s="106" t="str">
        <f aca="false">IF($C153="","",IF(Dashboard!$C$4="Gemiddeld per maand",$F153,IF(OR($D153="Per maand",$D153="Per week",$D153=""),$F153,IF($D153="Per jaar",IF(Dashboard!$N$2=$W153,$C153,0),IF($D153="Per half jaar",IF(MOD(Dashboard!$N$2-$W153,6)=0,$C153,0),IF($D153="Per kwartaal",IF(MOD(Dashboard!$N$2-$W153,3)=0,$C153,0),$F153))))))</f>
        <v/>
      </c>
      <c r="K153" s="107" t="str">
        <f aca="false">IF($C153="","",IF(Dashboard!$C$4="Gemiddeld per maand",$F153,IF(OR($D153="Per maand",$D153="Per week",$D153=""),$F153,IF($D153="Per jaar",IF(1=$W153,$C153,0),IF($D153="Per half jaar",IF(MOD(1-$W153,6)=0,$C153,0),IF($D153="Per kwartaal",IF(MOD(1-$W153,3)=0,$C153,0),$F153))))))</f>
        <v/>
      </c>
      <c r="L153" s="107" t="str">
        <f aca="false">IF($C153="","",IF(Dashboard!$C$4="Gemiddeld per maand",$F153,IF(OR($D153="Per maand",$D153="Per week",$D153=""),$F153,IF($D153="Per jaar",IF(2=$W153,$C153,0),IF($D153="Per half jaar",IF(MOD(2-$W153,6)=0,$C153,0),IF($D153="Per kwartaal",IF(MOD(2-$W153,3)=0,$C153,0),$F153))))))</f>
        <v/>
      </c>
      <c r="M153" s="107" t="str">
        <f aca="false">IF($C153="","",IF(Dashboard!$C$4="Gemiddeld per maand",$F153,IF(OR($D153="Per maand",$D153="Per week",$D153=""),$F153,IF($D153="Per jaar",IF(3=$W153,$C153,0),IF($D153="Per half jaar",IF(MOD(3-$W153,6)=0,$C153,0),IF($D153="Per kwartaal",IF(MOD(3-$W153,3)=0,$C153,0),$F153))))))</f>
        <v/>
      </c>
      <c r="N153" s="107" t="str">
        <f aca="false">IF($C153="","",IF(Dashboard!$C$4="Gemiddeld per maand",$F153,IF(OR($D153="Per maand",$D153="Per week",$D153=""),$F153,IF($D153="Per jaar",IF(4=$W153,$C153,0),IF($D153="Per half jaar",IF(MOD(4-$W153,6)=0,$C153,0),IF($D153="Per kwartaal",IF(MOD(4-$W153,3)=0,$C153,0),$F153))))))</f>
        <v/>
      </c>
      <c r="O153" s="107" t="str">
        <f aca="false">IF($C153="","",IF(Dashboard!$C$4="Gemiddeld per maand",$F153,IF(OR($D153="Per maand",$D153="Per week",$D153=""),$F153,IF($D153="Per jaar",IF(5=$W153,$C153,0),IF($D153="Per half jaar",IF(MOD(5-$W153,6)=0,$C153,0),IF($D153="Per kwartaal",IF(MOD(5-$W153,3)=0,$C153,0),$F153))))))</f>
        <v/>
      </c>
      <c r="P153" s="107" t="str">
        <f aca="false">IF($C153="","",IF(Dashboard!$C$4="Gemiddeld per maand",$F153,IF(OR($D153="Per maand",$D153="Per week",$D153=""),$F153,IF($D153="Per jaar",IF(6=$W153,$C153,0),IF($D153="Per half jaar",IF(MOD(6-$W153,6)=0,$C153,0),IF($D153="Per kwartaal",IF(MOD(6-$W153,3)=0,$C153,0),$F153))))))</f>
        <v/>
      </c>
      <c r="Q153" s="107" t="str">
        <f aca="false">IF($C153="","",IF(Dashboard!$C$4="Gemiddeld per maand",$F153,IF(OR($D153="Per maand",$D153="Per week",$D153=""),$F153,IF($D153="Per jaar",IF(7=$W153,$C153,0),IF($D153="Per half jaar",IF(MOD(7-$W153,6)=0,$C153,0),IF($D153="Per kwartaal",IF(MOD(7-$W153,3)=0,$C153,0),$F153))))))</f>
        <v/>
      </c>
      <c r="R153" s="107" t="str">
        <f aca="false">IF($C153="","",IF(Dashboard!$C$4="Gemiddeld per maand",$F153,IF(OR($D153="Per maand",$D153="Per week",$D153=""),$F153,IF($D153="Per jaar",IF(8=$W153,$C153,0),IF($D153="Per half jaar",IF(MOD(8-$W153,6)=0,$C153,0),IF($D153="Per kwartaal",IF(MOD(8-$W153,3)=0,$C153,0),$F153))))))</f>
        <v/>
      </c>
      <c r="S153" s="107" t="str">
        <f aca="false">IF($C153="","",IF(Dashboard!$C$4="Gemiddeld per maand",$F153,IF(OR($D153="Per maand",$D153="Per week",$D153=""),$F153,IF($D153="Per jaar",IF(9=$W153,$C153,0),IF($D153="Per half jaar",IF(MOD(9-$W153,6)=0,$C153,0),IF($D153="Per kwartaal",IF(MOD(9-$W153,3)=0,$C153,0),$F153))))))</f>
        <v/>
      </c>
      <c r="T153" s="107" t="str">
        <f aca="false">IF($C153="","",IF(Dashboard!$C$4="Gemiddeld per maand",$F153,IF(OR($D153="Per maand",$D153="Per week",$D153=""),$F153,IF($D153="Per jaar",IF(10=$W153,$C153,0),IF($D153="Per half jaar",IF(MOD(10-$W153,6)=0,$C153,0),IF($D153="Per kwartaal",IF(MOD(10-$W153,3)=0,$C153,0),$F153))))))</f>
        <v/>
      </c>
      <c r="U153" s="107" t="str">
        <f aca="false">IF($C153="","",IF(Dashboard!$C$4="Gemiddeld per maand",$F153,IF(OR($D153="Per maand",$D153="Per week",$D153=""),$F153,IF($D153="Per jaar",IF(11=$W153,$C153,0),IF($D153="Per half jaar",IF(MOD(11-$W153,6)=0,$C153,0),IF($D153="Per kwartaal",IF(MOD(11-$W153,3)=0,$C153,0),$F153))))))</f>
        <v/>
      </c>
      <c r="V153" s="107" t="str">
        <f aca="false">IF($C153="","",IF(Dashboard!$C$4="Gemiddeld per maand",$F153,IF(OR($D153="Per maand",$D153="Per week",$D153=""),$F153,IF($D153="Per jaar",IF(12=$W153,$C153,0),IF($D153="Per half jaar",IF(MOD(12-$W153,6)=0,$C153,0),IF($D153="Per kwartaal",IF(MOD(12-$W153,3)=0,$C153,0),$F153))))))</f>
        <v/>
      </c>
      <c r="W153" s="15" t="n">
        <f aca="false">IF($E153="",1,IFERROR(MATCH($E153,Lijsten!$K$6:$K$17,0),1))</f>
        <v>1</v>
      </c>
    </row>
    <row r="154" customFormat="false" ht="15" hidden="false" customHeight="false" outlineLevel="0" collapsed="false">
      <c r="A154" s="102"/>
      <c r="B154" s="102"/>
      <c r="C154" s="92"/>
      <c r="D154" s="102"/>
      <c r="E154" s="103"/>
      <c r="F154" s="104" t="str">
        <f aca="false">IF($C154="","",IF($D154="Per jaar",$C154/12,IF($D154="Per kwartaal",$C154/3,IF($D154="Per half jaar",$C154/6,IF($D154="Per week",$C154*52/12,$C154)))))</f>
        <v/>
      </c>
      <c r="G154" s="102"/>
      <c r="H154" s="103"/>
      <c r="I154" s="105"/>
      <c r="J154" s="106" t="str">
        <f aca="false">IF($C154="","",IF(Dashboard!$C$4="Gemiddeld per maand",$F154,IF(OR($D154="Per maand",$D154="Per week",$D154=""),$F154,IF($D154="Per jaar",IF(Dashboard!$N$2=$W154,$C154,0),IF($D154="Per half jaar",IF(MOD(Dashboard!$N$2-$W154,6)=0,$C154,0),IF($D154="Per kwartaal",IF(MOD(Dashboard!$N$2-$W154,3)=0,$C154,0),$F154))))))</f>
        <v/>
      </c>
      <c r="K154" s="107" t="str">
        <f aca="false">IF($C154="","",IF(Dashboard!$C$4="Gemiddeld per maand",$F154,IF(OR($D154="Per maand",$D154="Per week",$D154=""),$F154,IF($D154="Per jaar",IF(1=$W154,$C154,0),IF($D154="Per half jaar",IF(MOD(1-$W154,6)=0,$C154,0),IF($D154="Per kwartaal",IF(MOD(1-$W154,3)=0,$C154,0),$F154))))))</f>
        <v/>
      </c>
      <c r="L154" s="107" t="str">
        <f aca="false">IF($C154="","",IF(Dashboard!$C$4="Gemiddeld per maand",$F154,IF(OR($D154="Per maand",$D154="Per week",$D154=""),$F154,IF($D154="Per jaar",IF(2=$W154,$C154,0),IF($D154="Per half jaar",IF(MOD(2-$W154,6)=0,$C154,0),IF($D154="Per kwartaal",IF(MOD(2-$W154,3)=0,$C154,0),$F154))))))</f>
        <v/>
      </c>
      <c r="M154" s="107" t="str">
        <f aca="false">IF($C154="","",IF(Dashboard!$C$4="Gemiddeld per maand",$F154,IF(OR($D154="Per maand",$D154="Per week",$D154=""),$F154,IF($D154="Per jaar",IF(3=$W154,$C154,0),IF($D154="Per half jaar",IF(MOD(3-$W154,6)=0,$C154,0),IF($D154="Per kwartaal",IF(MOD(3-$W154,3)=0,$C154,0),$F154))))))</f>
        <v/>
      </c>
      <c r="N154" s="107" t="str">
        <f aca="false">IF($C154="","",IF(Dashboard!$C$4="Gemiddeld per maand",$F154,IF(OR($D154="Per maand",$D154="Per week",$D154=""),$F154,IF($D154="Per jaar",IF(4=$W154,$C154,0),IF($D154="Per half jaar",IF(MOD(4-$W154,6)=0,$C154,0),IF($D154="Per kwartaal",IF(MOD(4-$W154,3)=0,$C154,0),$F154))))))</f>
        <v/>
      </c>
      <c r="O154" s="107" t="str">
        <f aca="false">IF($C154="","",IF(Dashboard!$C$4="Gemiddeld per maand",$F154,IF(OR($D154="Per maand",$D154="Per week",$D154=""),$F154,IF($D154="Per jaar",IF(5=$W154,$C154,0),IF($D154="Per half jaar",IF(MOD(5-$W154,6)=0,$C154,0),IF($D154="Per kwartaal",IF(MOD(5-$W154,3)=0,$C154,0),$F154))))))</f>
        <v/>
      </c>
      <c r="P154" s="107" t="str">
        <f aca="false">IF($C154="","",IF(Dashboard!$C$4="Gemiddeld per maand",$F154,IF(OR($D154="Per maand",$D154="Per week",$D154=""),$F154,IF($D154="Per jaar",IF(6=$W154,$C154,0),IF($D154="Per half jaar",IF(MOD(6-$W154,6)=0,$C154,0),IF($D154="Per kwartaal",IF(MOD(6-$W154,3)=0,$C154,0),$F154))))))</f>
        <v/>
      </c>
      <c r="Q154" s="107" t="str">
        <f aca="false">IF($C154="","",IF(Dashboard!$C$4="Gemiddeld per maand",$F154,IF(OR($D154="Per maand",$D154="Per week",$D154=""),$F154,IF($D154="Per jaar",IF(7=$W154,$C154,0),IF($D154="Per half jaar",IF(MOD(7-$W154,6)=0,$C154,0),IF($D154="Per kwartaal",IF(MOD(7-$W154,3)=0,$C154,0),$F154))))))</f>
        <v/>
      </c>
      <c r="R154" s="107" t="str">
        <f aca="false">IF($C154="","",IF(Dashboard!$C$4="Gemiddeld per maand",$F154,IF(OR($D154="Per maand",$D154="Per week",$D154=""),$F154,IF($D154="Per jaar",IF(8=$W154,$C154,0),IF($D154="Per half jaar",IF(MOD(8-$W154,6)=0,$C154,0),IF($D154="Per kwartaal",IF(MOD(8-$W154,3)=0,$C154,0),$F154))))))</f>
        <v/>
      </c>
      <c r="S154" s="107" t="str">
        <f aca="false">IF($C154="","",IF(Dashboard!$C$4="Gemiddeld per maand",$F154,IF(OR($D154="Per maand",$D154="Per week",$D154=""),$F154,IF($D154="Per jaar",IF(9=$W154,$C154,0),IF($D154="Per half jaar",IF(MOD(9-$W154,6)=0,$C154,0),IF($D154="Per kwartaal",IF(MOD(9-$W154,3)=0,$C154,0),$F154))))))</f>
        <v/>
      </c>
      <c r="T154" s="107" t="str">
        <f aca="false">IF($C154="","",IF(Dashboard!$C$4="Gemiddeld per maand",$F154,IF(OR($D154="Per maand",$D154="Per week",$D154=""),$F154,IF($D154="Per jaar",IF(10=$W154,$C154,0),IF($D154="Per half jaar",IF(MOD(10-$W154,6)=0,$C154,0),IF($D154="Per kwartaal",IF(MOD(10-$W154,3)=0,$C154,0),$F154))))))</f>
        <v/>
      </c>
      <c r="U154" s="107" t="str">
        <f aca="false">IF($C154="","",IF(Dashboard!$C$4="Gemiddeld per maand",$F154,IF(OR($D154="Per maand",$D154="Per week",$D154=""),$F154,IF($D154="Per jaar",IF(11=$W154,$C154,0),IF($D154="Per half jaar",IF(MOD(11-$W154,6)=0,$C154,0),IF($D154="Per kwartaal",IF(MOD(11-$W154,3)=0,$C154,0),$F154))))))</f>
        <v/>
      </c>
      <c r="V154" s="107" t="str">
        <f aca="false">IF($C154="","",IF(Dashboard!$C$4="Gemiddeld per maand",$F154,IF(OR($D154="Per maand",$D154="Per week",$D154=""),$F154,IF($D154="Per jaar",IF(12=$W154,$C154,0),IF($D154="Per half jaar",IF(MOD(12-$W154,6)=0,$C154,0),IF($D154="Per kwartaal",IF(MOD(12-$W154,3)=0,$C154,0),$F154))))))</f>
        <v/>
      </c>
      <c r="W154" s="15" t="n">
        <f aca="false">IF($E154="",1,IFERROR(MATCH($E154,Lijsten!$K$6:$K$17,0),1))</f>
        <v>1</v>
      </c>
    </row>
    <row r="155" customFormat="false" ht="15" hidden="false" customHeight="false" outlineLevel="0" collapsed="false">
      <c r="A155" s="102"/>
      <c r="B155" s="102"/>
      <c r="C155" s="92"/>
      <c r="D155" s="102"/>
      <c r="E155" s="103"/>
      <c r="F155" s="104" t="str">
        <f aca="false">IF($C155="","",IF($D155="Per jaar",$C155/12,IF($D155="Per kwartaal",$C155/3,IF($D155="Per half jaar",$C155/6,IF($D155="Per week",$C155*52/12,$C155)))))</f>
        <v/>
      </c>
      <c r="G155" s="102"/>
      <c r="H155" s="103"/>
      <c r="I155" s="105"/>
      <c r="J155" s="106" t="str">
        <f aca="false">IF($C155="","",IF(Dashboard!$C$4="Gemiddeld per maand",$F155,IF(OR($D155="Per maand",$D155="Per week",$D155=""),$F155,IF($D155="Per jaar",IF(Dashboard!$N$2=$W155,$C155,0),IF($D155="Per half jaar",IF(MOD(Dashboard!$N$2-$W155,6)=0,$C155,0),IF($D155="Per kwartaal",IF(MOD(Dashboard!$N$2-$W155,3)=0,$C155,0),$F155))))))</f>
        <v/>
      </c>
      <c r="K155" s="107" t="str">
        <f aca="false">IF($C155="","",IF(Dashboard!$C$4="Gemiddeld per maand",$F155,IF(OR($D155="Per maand",$D155="Per week",$D155=""),$F155,IF($D155="Per jaar",IF(1=$W155,$C155,0),IF($D155="Per half jaar",IF(MOD(1-$W155,6)=0,$C155,0),IF($D155="Per kwartaal",IF(MOD(1-$W155,3)=0,$C155,0),$F155))))))</f>
        <v/>
      </c>
      <c r="L155" s="107" t="str">
        <f aca="false">IF($C155="","",IF(Dashboard!$C$4="Gemiddeld per maand",$F155,IF(OR($D155="Per maand",$D155="Per week",$D155=""),$F155,IF($D155="Per jaar",IF(2=$W155,$C155,0),IF($D155="Per half jaar",IF(MOD(2-$W155,6)=0,$C155,0),IF($D155="Per kwartaal",IF(MOD(2-$W155,3)=0,$C155,0),$F155))))))</f>
        <v/>
      </c>
      <c r="M155" s="107" t="str">
        <f aca="false">IF($C155="","",IF(Dashboard!$C$4="Gemiddeld per maand",$F155,IF(OR($D155="Per maand",$D155="Per week",$D155=""),$F155,IF($D155="Per jaar",IF(3=$W155,$C155,0),IF($D155="Per half jaar",IF(MOD(3-$W155,6)=0,$C155,0),IF($D155="Per kwartaal",IF(MOD(3-$W155,3)=0,$C155,0),$F155))))))</f>
        <v/>
      </c>
      <c r="N155" s="107" t="str">
        <f aca="false">IF($C155="","",IF(Dashboard!$C$4="Gemiddeld per maand",$F155,IF(OR($D155="Per maand",$D155="Per week",$D155=""),$F155,IF($D155="Per jaar",IF(4=$W155,$C155,0),IF($D155="Per half jaar",IF(MOD(4-$W155,6)=0,$C155,0),IF($D155="Per kwartaal",IF(MOD(4-$W155,3)=0,$C155,0),$F155))))))</f>
        <v/>
      </c>
      <c r="O155" s="107" t="str">
        <f aca="false">IF($C155="","",IF(Dashboard!$C$4="Gemiddeld per maand",$F155,IF(OR($D155="Per maand",$D155="Per week",$D155=""),$F155,IF($D155="Per jaar",IF(5=$W155,$C155,0),IF($D155="Per half jaar",IF(MOD(5-$W155,6)=0,$C155,0),IF($D155="Per kwartaal",IF(MOD(5-$W155,3)=0,$C155,0),$F155))))))</f>
        <v/>
      </c>
      <c r="P155" s="107" t="str">
        <f aca="false">IF($C155="","",IF(Dashboard!$C$4="Gemiddeld per maand",$F155,IF(OR($D155="Per maand",$D155="Per week",$D155=""),$F155,IF($D155="Per jaar",IF(6=$W155,$C155,0),IF($D155="Per half jaar",IF(MOD(6-$W155,6)=0,$C155,0),IF($D155="Per kwartaal",IF(MOD(6-$W155,3)=0,$C155,0),$F155))))))</f>
        <v/>
      </c>
      <c r="Q155" s="107" t="str">
        <f aca="false">IF($C155="","",IF(Dashboard!$C$4="Gemiddeld per maand",$F155,IF(OR($D155="Per maand",$D155="Per week",$D155=""),$F155,IF($D155="Per jaar",IF(7=$W155,$C155,0),IF($D155="Per half jaar",IF(MOD(7-$W155,6)=0,$C155,0),IF($D155="Per kwartaal",IF(MOD(7-$W155,3)=0,$C155,0),$F155))))))</f>
        <v/>
      </c>
      <c r="R155" s="107" t="str">
        <f aca="false">IF($C155="","",IF(Dashboard!$C$4="Gemiddeld per maand",$F155,IF(OR($D155="Per maand",$D155="Per week",$D155=""),$F155,IF($D155="Per jaar",IF(8=$W155,$C155,0),IF($D155="Per half jaar",IF(MOD(8-$W155,6)=0,$C155,0),IF($D155="Per kwartaal",IF(MOD(8-$W155,3)=0,$C155,0),$F155))))))</f>
        <v/>
      </c>
      <c r="S155" s="107" t="str">
        <f aca="false">IF($C155="","",IF(Dashboard!$C$4="Gemiddeld per maand",$F155,IF(OR($D155="Per maand",$D155="Per week",$D155=""),$F155,IF($D155="Per jaar",IF(9=$W155,$C155,0),IF($D155="Per half jaar",IF(MOD(9-$W155,6)=0,$C155,0),IF($D155="Per kwartaal",IF(MOD(9-$W155,3)=0,$C155,0),$F155))))))</f>
        <v/>
      </c>
      <c r="T155" s="107" t="str">
        <f aca="false">IF($C155="","",IF(Dashboard!$C$4="Gemiddeld per maand",$F155,IF(OR($D155="Per maand",$D155="Per week",$D155=""),$F155,IF($D155="Per jaar",IF(10=$W155,$C155,0),IF($D155="Per half jaar",IF(MOD(10-$W155,6)=0,$C155,0),IF($D155="Per kwartaal",IF(MOD(10-$W155,3)=0,$C155,0),$F155))))))</f>
        <v/>
      </c>
      <c r="U155" s="107" t="str">
        <f aca="false">IF($C155="","",IF(Dashboard!$C$4="Gemiddeld per maand",$F155,IF(OR($D155="Per maand",$D155="Per week",$D155=""),$F155,IF($D155="Per jaar",IF(11=$W155,$C155,0),IF($D155="Per half jaar",IF(MOD(11-$W155,6)=0,$C155,0),IF($D155="Per kwartaal",IF(MOD(11-$W155,3)=0,$C155,0),$F155))))))</f>
        <v/>
      </c>
      <c r="V155" s="107" t="str">
        <f aca="false">IF($C155="","",IF(Dashboard!$C$4="Gemiddeld per maand",$F155,IF(OR($D155="Per maand",$D155="Per week",$D155=""),$F155,IF($D155="Per jaar",IF(12=$W155,$C155,0),IF($D155="Per half jaar",IF(MOD(12-$W155,6)=0,$C155,0),IF($D155="Per kwartaal",IF(MOD(12-$W155,3)=0,$C155,0),$F155))))))</f>
        <v/>
      </c>
      <c r="W155" s="15" t="n">
        <f aca="false">IF($E155="",1,IFERROR(MATCH($E155,Lijsten!$K$6:$K$17,0),1))</f>
        <v>1</v>
      </c>
    </row>
    <row r="156" customFormat="false" ht="15" hidden="false" customHeight="false" outlineLevel="0" collapsed="false">
      <c r="A156" s="102"/>
      <c r="B156" s="102"/>
      <c r="C156" s="92"/>
      <c r="D156" s="102"/>
      <c r="E156" s="103"/>
      <c r="F156" s="104" t="str">
        <f aca="false">IF($C156="","",IF($D156="Per jaar",$C156/12,IF($D156="Per kwartaal",$C156/3,IF($D156="Per half jaar",$C156/6,IF($D156="Per week",$C156*52/12,$C156)))))</f>
        <v/>
      </c>
      <c r="G156" s="102"/>
      <c r="H156" s="103"/>
      <c r="I156" s="105"/>
      <c r="J156" s="106" t="str">
        <f aca="false">IF($C156="","",IF(Dashboard!$C$4="Gemiddeld per maand",$F156,IF(OR($D156="Per maand",$D156="Per week",$D156=""),$F156,IF($D156="Per jaar",IF(Dashboard!$N$2=$W156,$C156,0),IF($D156="Per half jaar",IF(MOD(Dashboard!$N$2-$W156,6)=0,$C156,0),IF($D156="Per kwartaal",IF(MOD(Dashboard!$N$2-$W156,3)=0,$C156,0),$F156))))))</f>
        <v/>
      </c>
      <c r="K156" s="107" t="str">
        <f aca="false">IF($C156="","",IF(Dashboard!$C$4="Gemiddeld per maand",$F156,IF(OR($D156="Per maand",$D156="Per week",$D156=""),$F156,IF($D156="Per jaar",IF(1=$W156,$C156,0),IF($D156="Per half jaar",IF(MOD(1-$W156,6)=0,$C156,0),IF($D156="Per kwartaal",IF(MOD(1-$W156,3)=0,$C156,0),$F156))))))</f>
        <v/>
      </c>
      <c r="L156" s="107" t="str">
        <f aca="false">IF($C156="","",IF(Dashboard!$C$4="Gemiddeld per maand",$F156,IF(OR($D156="Per maand",$D156="Per week",$D156=""),$F156,IF($D156="Per jaar",IF(2=$W156,$C156,0),IF($D156="Per half jaar",IF(MOD(2-$W156,6)=0,$C156,0),IF($D156="Per kwartaal",IF(MOD(2-$W156,3)=0,$C156,0),$F156))))))</f>
        <v/>
      </c>
      <c r="M156" s="107" t="str">
        <f aca="false">IF($C156="","",IF(Dashboard!$C$4="Gemiddeld per maand",$F156,IF(OR($D156="Per maand",$D156="Per week",$D156=""),$F156,IF($D156="Per jaar",IF(3=$W156,$C156,0),IF($D156="Per half jaar",IF(MOD(3-$W156,6)=0,$C156,0),IF($D156="Per kwartaal",IF(MOD(3-$W156,3)=0,$C156,0),$F156))))))</f>
        <v/>
      </c>
      <c r="N156" s="107" t="str">
        <f aca="false">IF($C156="","",IF(Dashboard!$C$4="Gemiddeld per maand",$F156,IF(OR($D156="Per maand",$D156="Per week",$D156=""),$F156,IF($D156="Per jaar",IF(4=$W156,$C156,0),IF($D156="Per half jaar",IF(MOD(4-$W156,6)=0,$C156,0),IF($D156="Per kwartaal",IF(MOD(4-$W156,3)=0,$C156,0),$F156))))))</f>
        <v/>
      </c>
      <c r="O156" s="107" t="str">
        <f aca="false">IF($C156="","",IF(Dashboard!$C$4="Gemiddeld per maand",$F156,IF(OR($D156="Per maand",$D156="Per week",$D156=""),$F156,IF($D156="Per jaar",IF(5=$W156,$C156,0),IF($D156="Per half jaar",IF(MOD(5-$W156,6)=0,$C156,0),IF($D156="Per kwartaal",IF(MOD(5-$W156,3)=0,$C156,0),$F156))))))</f>
        <v/>
      </c>
      <c r="P156" s="107" t="str">
        <f aca="false">IF($C156="","",IF(Dashboard!$C$4="Gemiddeld per maand",$F156,IF(OR($D156="Per maand",$D156="Per week",$D156=""),$F156,IF($D156="Per jaar",IF(6=$W156,$C156,0),IF($D156="Per half jaar",IF(MOD(6-$W156,6)=0,$C156,0),IF($D156="Per kwartaal",IF(MOD(6-$W156,3)=0,$C156,0),$F156))))))</f>
        <v/>
      </c>
      <c r="Q156" s="107" t="str">
        <f aca="false">IF($C156="","",IF(Dashboard!$C$4="Gemiddeld per maand",$F156,IF(OR($D156="Per maand",$D156="Per week",$D156=""),$F156,IF($D156="Per jaar",IF(7=$W156,$C156,0),IF($D156="Per half jaar",IF(MOD(7-$W156,6)=0,$C156,0),IF($D156="Per kwartaal",IF(MOD(7-$W156,3)=0,$C156,0),$F156))))))</f>
        <v/>
      </c>
      <c r="R156" s="107" t="str">
        <f aca="false">IF($C156="","",IF(Dashboard!$C$4="Gemiddeld per maand",$F156,IF(OR($D156="Per maand",$D156="Per week",$D156=""),$F156,IF($D156="Per jaar",IF(8=$W156,$C156,0),IF($D156="Per half jaar",IF(MOD(8-$W156,6)=0,$C156,0),IF($D156="Per kwartaal",IF(MOD(8-$W156,3)=0,$C156,0),$F156))))))</f>
        <v/>
      </c>
      <c r="S156" s="107" t="str">
        <f aca="false">IF($C156="","",IF(Dashboard!$C$4="Gemiddeld per maand",$F156,IF(OR($D156="Per maand",$D156="Per week",$D156=""),$F156,IF($D156="Per jaar",IF(9=$W156,$C156,0),IF($D156="Per half jaar",IF(MOD(9-$W156,6)=0,$C156,0),IF($D156="Per kwartaal",IF(MOD(9-$W156,3)=0,$C156,0),$F156))))))</f>
        <v/>
      </c>
      <c r="T156" s="107" t="str">
        <f aca="false">IF($C156="","",IF(Dashboard!$C$4="Gemiddeld per maand",$F156,IF(OR($D156="Per maand",$D156="Per week",$D156=""),$F156,IF($D156="Per jaar",IF(10=$W156,$C156,0),IF($D156="Per half jaar",IF(MOD(10-$W156,6)=0,$C156,0),IF($D156="Per kwartaal",IF(MOD(10-$W156,3)=0,$C156,0),$F156))))))</f>
        <v/>
      </c>
      <c r="U156" s="107" t="str">
        <f aca="false">IF($C156="","",IF(Dashboard!$C$4="Gemiddeld per maand",$F156,IF(OR($D156="Per maand",$D156="Per week",$D156=""),$F156,IF($D156="Per jaar",IF(11=$W156,$C156,0),IF($D156="Per half jaar",IF(MOD(11-$W156,6)=0,$C156,0),IF($D156="Per kwartaal",IF(MOD(11-$W156,3)=0,$C156,0),$F156))))))</f>
        <v/>
      </c>
      <c r="V156" s="107" t="str">
        <f aca="false">IF($C156="","",IF(Dashboard!$C$4="Gemiddeld per maand",$F156,IF(OR($D156="Per maand",$D156="Per week",$D156=""),$F156,IF($D156="Per jaar",IF(12=$W156,$C156,0),IF($D156="Per half jaar",IF(MOD(12-$W156,6)=0,$C156,0),IF($D156="Per kwartaal",IF(MOD(12-$W156,3)=0,$C156,0),$F156))))))</f>
        <v/>
      </c>
      <c r="W156" s="15" t="n">
        <f aca="false">IF($E156="",1,IFERROR(MATCH($E156,Lijsten!$K$6:$K$17,0),1))</f>
        <v>1</v>
      </c>
    </row>
    <row r="157" customFormat="false" ht="15" hidden="false" customHeight="false" outlineLevel="0" collapsed="false">
      <c r="A157" s="102"/>
      <c r="B157" s="102"/>
      <c r="C157" s="92"/>
      <c r="D157" s="102"/>
      <c r="E157" s="103"/>
      <c r="F157" s="104" t="str">
        <f aca="false">IF($C157="","",IF($D157="Per jaar",$C157/12,IF($D157="Per kwartaal",$C157/3,IF($D157="Per half jaar",$C157/6,IF($D157="Per week",$C157*52/12,$C157)))))</f>
        <v/>
      </c>
      <c r="G157" s="102"/>
      <c r="H157" s="103"/>
      <c r="I157" s="105"/>
      <c r="J157" s="106" t="str">
        <f aca="false">IF($C157="","",IF(Dashboard!$C$4="Gemiddeld per maand",$F157,IF(OR($D157="Per maand",$D157="Per week",$D157=""),$F157,IF($D157="Per jaar",IF(Dashboard!$N$2=$W157,$C157,0),IF($D157="Per half jaar",IF(MOD(Dashboard!$N$2-$W157,6)=0,$C157,0),IF($D157="Per kwartaal",IF(MOD(Dashboard!$N$2-$W157,3)=0,$C157,0),$F157))))))</f>
        <v/>
      </c>
      <c r="K157" s="107" t="str">
        <f aca="false">IF($C157="","",IF(Dashboard!$C$4="Gemiddeld per maand",$F157,IF(OR($D157="Per maand",$D157="Per week",$D157=""),$F157,IF($D157="Per jaar",IF(1=$W157,$C157,0),IF($D157="Per half jaar",IF(MOD(1-$W157,6)=0,$C157,0),IF($D157="Per kwartaal",IF(MOD(1-$W157,3)=0,$C157,0),$F157))))))</f>
        <v/>
      </c>
      <c r="L157" s="107" t="str">
        <f aca="false">IF($C157="","",IF(Dashboard!$C$4="Gemiddeld per maand",$F157,IF(OR($D157="Per maand",$D157="Per week",$D157=""),$F157,IF($D157="Per jaar",IF(2=$W157,$C157,0),IF($D157="Per half jaar",IF(MOD(2-$W157,6)=0,$C157,0),IF($D157="Per kwartaal",IF(MOD(2-$W157,3)=0,$C157,0),$F157))))))</f>
        <v/>
      </c>
      <c r="M157" s="107" t="str">
        <f aca="false">IF($C157="","",IF(Dashboard!$C$4="Gemiddeld per maand",$F157,IF(OR($D157="Per maand",$D157="Per week",$D157=""),$F157,IF($D157="Per jaar",IF(3=$W157,$C157,0),IF($D157="Per half jaar",IF(MOD(3-$W157,6)=0,$C157,0),IF($D157="Per kwartaal",IF(MOD(3-$W157,3)=0,$C157,0),$F157))))))</f>
        <v/>
      </c>
      <c r="N157" s="107" t="str">
        <f aca="false">IF($C157="","",IF(Dashboard!$C$4="Gemiddeld per maand",$F157,IF(OR($D157="Per maand",$D157="Per week",$D157=""),$F157,IF($D157="Per jaar",IF(4=$W157,$C157,0),IF($D157="Per half jaar",IF(MOD(4-$W157,6)=0,$C157,0),IF($D157="Per kwartaal",IF(MOD(4-$W157,3)=0,$C157,0),$F157))))))</f>
        <v/>
      </c>
      <c r="O157" s="107" t="str">
        <f aca="false">IF($C157="","",IF(Dashboard!$C$4="Gemiddeld per maand",$F157,IF(OR($D157="Per maand",$D157="Per week",$D157=""),$F157,IF($D157="Per jaar",IF(5=$W157,$C157,0),IF($D157="Per half jaar",IF(MOD(5-$W157,6)=0,$C157,0),IF($D157="Per kwartaal",IF(MOD(5-$W157,3)=0,$C157,0),$F157))))))</f>
        <v/>
      </c>
      <c r="P157" s="107" t="str">
        <f aca="false">IF($C157="","",IF(Dashboard!$C$4="Gemiddeld per maand",$F157,IF(OR($D157="Per maand",$D157="Per week",$D157=""),$F157,IF($D157="Per jaar",IF(6=$W157,$C157,0),IF($D157="Per half jaar",IF(MOD(6-$W157,6)=0,$C157,0),IF($D157="Per kwartaal",IF(MOD(6-$W157,3)=0,$C157,0),$F157))))))</f>
        <v/>
      </c>
      <c r="Q157" s="107" t="str">
        <f aca="false">IF($C157="","",IF(Dashboard!$C$4="Gemiddeld per maand",$F157,IF(OR($D157="Per maand",$D157="Per week",$D157=""),$F157,IF($D157="Per jaar",IF(7=$W157,$C157,0),IF($D157="Per half jaar",IF(MOD(7-$W157,6)=0,$C157,0),IF($D157="Per kwartaal",IF(MOD(7-$W157,3)=0,$C157,0),$F157))))))</f>
        <v/>
      </c>
      <c r="R157" s="107" t="str">
        <f aca="false">IF($C157="","",IF(Dashboard!$C$4="Gemiddeld per maand",$F157,IF(OR($D157="Per maand",$D157="Per week",$D157=""),$F157,IF($D157="Per jaar",IF(8=$W157,$C157,0),IF($D157="Per half jaar",IF(MOD(8-$W157,6)=0,$C157,0),IF($D157="Per kwartaal",IF(MOD(8-$W157,3)=0,$C157,0),$F157))))))</f>
        <v/>
      </c>
      <c r="S157" s="107" t="str">
        <f aca="false">IF($C157="","",IF(Dashboard!$C$4="Gemiddeld per maand",$F157,IF(OR($D157="Per maand",$D157="Per week",$D157=""),$F157,IF($D157="Per jaar",IF(9=$W157,$C157,0),IF($D157="Per half jaar",IF(MOD(9-$W157,6)=0,$C157,0),IF($D157="Per kwartaal",IF(MOD(9-$W157,3)=0,$C157,0),$F157))))))</f>
        <v/>
      </c>
      <c r="T157" s="107" t="str">
        <f aca="false">IF($C157="","",IF(Dashboard!$C$4="Gemiddeld per maand",$F157,IF(OR($D157="Per maand",$D157="Per week",$D157=""),$F157,IF($D157="Per jaar",IF(10=$W157,$C157,0),IF($D157="Per half jaar",IF(MOD(10-$W157,6)=0,$C157,0),IF($D157="Per kwartaal",IF(MOD(10-$W157,3)=0,$C157,0),$F157))))))</f>
        <v/>
      </c>
      <c r="U157" s="107" t="str">
        <f aca="false">IF($C157="","",IF(Dashboard!$C$4="Gemiddeld per maand",$F157,IF(OR($D157="Per maand",$D157="Per week",$D157=""),$F157,IF($D157="Per jaar",IF(11=$W157,$C157,0),IF($D157="Per half jaar",IF(MOD(11-$W157,6)=0,$C157,0),IF($D157="Per kwartaal",IF(MOD(11-$W157,3)=0,$C157,0),$F157))))))</f>
        <v/>
      </c>
      <c r="V157" s="107" t="str">
        <f aca="false">IF($C157="","",IF(Dashboard!$C$4="Gemiddeld per maand",$F157,IF(OR($D157="Per maand",$D157="Per week",$D157=""),$F157,IF($D157="Per jaar",IF(12=$W157,$C157,0),IF($D157="Per half jaar",IF(MOD(12-$W157,6)=0,$C157,0),IF($D157="Per kwartaal",IF(MOD(12-$W157,3)=0,$C157,0),$F157))))))</f>
        <v/>
      </c>
      <c r="W157" s="15" t="n">
        <f aca="false">IF($E157="",1,IFERROR(MATCH($E157,Lijsten!$K$6:$K$17,0),1))</f>
        <v>1</v>
      </c>
    </row>
    <row r="158" customFormat="false" ht="15" hidden="false" customHeight="false" outlineLevel="0" collapsed="false">
      <c r="A158" s="102"/>
      <c r="B158" s="102"/>
      <c r="C158" s="92"/>
      <c r="D158" s="102"/>
      <c r="E158" s="103"/>
      <c r="F158" s="104" t="str">
        <f aca="false">IF($C158="","",IF($D158="Per jaar",$C158/12,IF($D158="Per kwartaal",$C158/3,IF($D158="Per half jaar",$C158/6,IF($D158="Per week",$C158*52/12,$C158)))))</f>
        <v/>
      </c>
      <c r="G158" s="102"/>
      <c r="H158" s="103"/>
      <c r="I158" s="105"/>
      <c r="J158" s="106" t="str">
        <f aca="false">IF($C158="","",IF(Dashboard!$C$4="Gemiddeld per maand",$F158,IF(OR($D158="Per maand",$D158="Per week",$D158=""),$F158,IF($D158="Per jaar",IF(Dashboard!$N$2=$W158,$C158,0),IF($D158="Per half jaar",IF(MOD(Dashboard!$N$2-$W158,6)=0,$C158,0),IF($D158="Per kwartaal",IF(MOD(Dashboard!$N$2-$W158,3)=0,$C158,0),$F158))))))</f>
        <v/>
      </c>
      <c r="K158" s="107" t="str">
        <f aca="false">IF($C158="","",IF(Dashboard!$C$4="Gemiddeld per maand",$F158,IF(OR($D158="Per maand",$D158="Per week",$D158=""),$F158,IF($D158="Per jaar",IF(1=$W158,$C158,0),IF($D158="Per half jaar",IF(MOD(1-$W158,6)=0,$C158,0),IF($D158="Per kwartaal",IF(MOD(1-$W158,3)=0,$C158,0),$F158))))))</f>
        <v/>
      </c>
      <c r="L158" s="107" t="str">
        <f aca="false">IF($C158="","",IF(Dashboard!$C$4="Gemiddeld per maand",$F158,IF(OR($D158="Per maand",$D158="Per week",$D158=""),$F158,IF($D158="Per jaar",IF(2=$W158,$C158,0),IF($D158="Per half jaar",IF(MOD(2-$W158,6)=0,$C158,0),IF($D158="Per kwartaal",IF(MOD(2-$W158,3)=0,$C158,0),$F158))))))</f>
        <v/>
      </c>
      <c r="M158" s="107" t="str">
        <f aca="false">IF($C158="","",IF(Dashboard!$C$4="Gemiddeld per maand",$F158,IF(OR($D158="Per maand",$D158="Per week",$D158=""),$F158,IF($D158="Per jaar",IF(3=$W158,$C158,0),IF($D158="Per half jaar",IF(MOD(3-$W158,6)=0,$C158,0),IF($D158="Per kwartaal",IF(MOD(3-$W158,3)=0,$C158,0),$F158))))))</f>
        <v/>
      </c>
      <c r="N158" s="107" t="str">
        <f aca="false">IF($C158="","",IF(Dashboard!$C$4="Gemiddeld per maand",$F158,IF(OR($D158="Per maand",$D158="Per week",$D158=""),$F158,IF($D158="Per jaar",IF(4=$W158,$C158,0),IF($D158="Per half jaar",IF(MOD(4-$W158,6)=0,$C158,0),IF($D158="Per kwartaal",IF(MOD(4-$W158,3)=0,$C158,0),$F158))))))</f>
        <v/>
      </c>
      <c r="O158" s="107" t="str">
        <f aca="false">IF($C158="","",IF(Dashboard!$C$4="Gemiddeld per maand",$F158,IF(OR($D158="Per maand",$D158="Per week",$D158=""),$F158,IF($D158="Per jaar",IF(5=$W158,$C158,0),IF($D158="Per half jaar",IF(MOD(5-$W158,6)=0,$C158,0),IF($D158="Per kwartaal",IF(MOD(5-$W158,3)=0,$C158,0),$F158))))))</f>
        <v/>
      </c>
      <c r="P158" s="107" t="str">
        <f aca="false">IF($C158="","",IF(Dashboard!$C$4="Gemiddeld per maand",$F158,IF(OR($D158="Per maand",$D158="Per week",$D158=""),$F158,IF($D158="Per jaar",IF(6=$W158,$C158,0),IF($D158="Per half jaar",IF(MOD(6-$W158,6)=0,$C158,0),IF($D158="Per kwartaal",IF(MOD(6-$W158,3)=0,$C158,0),$F158))))))</f>
        <v/>
      </c>
      <c r="Q158" s="107" t="str">
        <f aca="false">IF($C158="","",IF(Dashboard!$C$4="Gemiddeld per maand",$F158,IF(OR($D158="Per maand",$D158="Per week",$D158=""),$F158,IF($D158="Per jaar",IF(7=$W158,$C158,0),IF($D158="Per half jaar",IF(MOD(7-$W158,6)=0,$C158,0),IF($D158="Per kwartaal",IF(MOD(7-$W158,3)=0,$C158,0),$F158))))))</f>
        <v/>
      </c>
      <c r="R158" s="107" t="str">
        <f aca="false">IF($C158="","",IF(Dashboard!$C$4="Gemiddeld per maand",$F158,IF(OR($D158="Per maand",$D158="Per week",$D158=""),$F158,IF($D158="Per jaar",IF(8=$W158,$C158,0),IF($D158="Per half jaar",IF(MOD(8-$W158,6)=0,$C158,0),IF($D158="Per kwartaal",IF(MOD(8-$W158,3)=0,$C158,0),$F158))))))</f>
        <v/>
      </c>
      <c r="S158" s="107" t="str">
        <f aca="false">IF($C158="","",IF(Dashboard!$C$4="Gemiddeld per maand",$F158,IF(OR($D158="Per maand",$D158="Per week",$D158=""),$F158,IF($D158="Per jaar",IF(9=$W158,$C158,0),IF($D158="Per half jaar",IF(MOD(9-$W158,6)=0,$C158,0),IF($D158="Per kwartaal",IF(MOD(9-$W158,3)=0,$C158,0),$F158))))))</f>
        <v/>
      </c>
      <c r="T158" s="107" t="str">
        <f aca="false">IF($C158="","",IF(Dashboard!$C$4="Gemiddeld per maand",$F158,IF(OR($D158="Per maand",$D158="Per week",$D158=""),$F158,IF($D158="Per jaar",IF(10=$W158,$C158,0),IF($D158="Per half jaar",IF(MOD(10-$W158,6)=0,$C158,0),IF($D158="Per kwartaal",IF(MOD(10-$W158,3)=0,$C158,0),$F158))))))</f>
        <v/>
      </c>
      <c r="U158" s="107" t="str">
        <f aca="false">IF($C158="","",IF(Dashboard!$C$4="Gemiddeld per maand",$F158,IF(OR($D158="Per maand",$D158="Per week",$D158=""),$F158,IF($D158="Per jaar",IF(11=$W158,$C158,0),IF($D158="Per half jaar",IF(MOD(11-$W158,6)=0,$C158,0),IF($D158="Per kwartaal",IF(MOD(11-$W158,3)=0,$C158,0),$F158))))))</f>
        <v/>
      </c>
      <c r="V158" s="107" t="str">
        <f aca="false">IF($C158="","",IF(Dashboard!$C$4="Gemiddeld per maand",$F158,IF(OR($D158="Per maand",$D158="Per week",$D158=""),$F158,IF($D158="Per jaar",IF(12=$W158,$C158,0),IF($D158="Per half jaar",IF(MOD(12-$W158,6)=0,$C158,0),IF($D158="Per kwartaal",IF(MOD(12-$W158,3)=0,$C158,0),$F158))))))</f>
        <v/>
      </c>
      <c r="W158" s="15" t="n">
        <f aca="false">IF($E158="",1,IFERROR(MATCH($E158,Lijsten!$K$6:$K$17,0),1))</f>
        <v>1</v>
      </c>
    </row>
    <row r="159" customFormat="false" ht="15" hidden="false" customHeight="false" outlineLevel="0" collapsed="false">
      <c r="A159" s="102"/>
      <c r="B159" s="102"/>
      <c r="C159" s="92"/>
      <c r="D159" s="102"/>
      <c r="E159" s="103"/>
      <c r="F159" s="104" t="str">
        <f aca="false">IF($C159="","",IF($D159="Per jaar",$C159/12,IF($D159="Per kwartaal",$C159/3,IF($D159="Per half jaar",$C159/6,IF($D159="Per week",$C159*52/12,$C159)))))</f>
        <v/>
      </c>
      <c r="G159" s="102"/>
      <c r="H159" s="103"/>
      <c r="I159" s="105"/>
      <c r="J159" s="106" t="str">
        <f aca="false">IF($C159="","",IF(Dashboard!$C$4="Gemiddeld per maand",$F159,IF(OR($D159="Per maand",$D159="Per week",$D159=""),$F159,IF($D159="Per jaar",IF(Dashboard!$N$2=$W159,$C159,0),IF($D159="Per half jaar",IF(MOD(Dashboard!$N$2-$W159,6)=0,$C159,0),IF($D159="Per kwartaal",IF(MOD(Dashboard!$N$2-$W159,3)=0,$C159,0),$F159))))))</f>
        <v/>
      </c>
      <c r="K159" s="107" t="str">
        <f aca="false">IF($C159="","",IF(Dashboard!$C$4="Gemiddeld per maand",$F159,IF(OR($D159="Per maand",$D159="Per week",$D159=""),$F159,IF($D159="Per jaar",IF(1=$W159,$C159,0),IF($D159="Per half jaar",IF(MOD(1-$W159,6)=0,$C159,0),IF($D159="Per kwartaal",IF(MOD(1-$W159,3)=0,$C159,0),$F159))))))</f>
        <v/>
      </c>
      <c r="L159" s="107" t="str">
        <f aca="false">IF($C159="","",IF(Dashboard!$C$4="Gemiddeld per maand",$F159,IF(OR($D159="Per maand",$D159="Per week",$D159=""),$F159,IF($D159="Per jaar",IF(2=$W159,$C159,0),IF($D159="Per half jaar",IF(MOD(2-$W159,6)=0,$C159,0),IF($D159="Per kwartaal",IF(MOD(2-$W159,3)=0,$C159,0),$F159))))))</f>
        <v/>
      </c>
      <c r="M159" s="107" t="str">
        <f aca="false">IF($C159="","",IF(Dashboard!$C$4="Gemiddeld per maand",$F159,IF(OR($D159="Per maand",$D159="Per week",$D159=""),$F159,IF($D159="Per jaar",IF(3=$W159,$C159,0),IF($D159="Per half jaar",IF(MOD(3-$W159,6)=0,$C159,0),IF($D159="Per kwartaal",IF(MOD(3-$W159,3)=0,$C159,0),$F159))))))</f>
        <v/>
      </c>
      <c r="N159" s="107" t="str">
        <f aca="false">IF($C159="","",IF(Dashboard!$C$4="Gemiddeld per maand",$F159,IF(OR($D159="Per maand",$D159="Per week",$D159=""),$F159,IF($D159="Per jaar",IF(4=$W159,$C159,0),IF($D159="Per half jaar",IF(MOD(4-$W159,6)=0,$C159,0),IF($D159="Per kwartaal",IF(MOD(4-$W159,3)=0,$C159,0),$F159))))))</f>
        <v/>
      </c>
      <c r="O159" s="107" t="str">
        <f aca="false">IF($C159="","",IF(Dashboard!$C$4="Gemiddeld per maand",$F159,IF(OR($D159="Per maand",$D159="Per week",$D159=""),$F159,IF($D159="Per jaar",IF(5=$W159,$C159,0),IF($D159="Per half jaar",IF(MOD(5-$W159,6)=0,$C159,0),IF($D159="Per kwartaal",IF(MOD(5-$W159,3)=0,$C159,0),$F159))))))</f>
        <v/>
      </c>
      <c r="P159" s="107" t="str">
        <f aca="false">IF($C159="","",IF(Dashboard!$C$4="Gemiddeld per maand",$F159,IF(OR($D159="Per maand",$D159="Per week",$D159=""),$F159,IF($D159="Per jaar",IF(6=$W159,$C159,0),IF($D159="Per half jaar",IF(MOD(6-$W159,6)=0,$C159,0),IF($D159="Per kwartaal",IF(MOD(6-$W159,3)=0,$C159,0),$F159))))))</f>
        <v/>
      </c>
      <c r="Q159" s="107" t="str">
        <f aca="false">IF($C159="","",IF(Dashboard!$C$4="Gemiddeld per maand",$F159,IF(OR($D159="Per maand",$D159="Per week",$D159=""),$F159,IF($D159="Per jaar",IF(7=$W159,$C159,0),IF($D159="Per half jaar",IF(MOD(7-$W159,6)=0,$C159,0),IF($D159="Per kwartaal",IF(MOD(7-$W159,3)=0,$C159,0),$F159))))))</f>
        <v/>
      </c>
      <c r="R159" s="107" t="str">
        <f aca="false">IF($C159="","",IF(Dashboard!$C$4="Gemiddeld per maand",$F159,IF(OR($D159="Per maand",$D159="Per week",$D159=""),$F159,IF($D159="Per jaar",IF(8=$W159,$C159,0),IF($D159="Per half jaar",IF(MOD(8-$W159,6)=0,$C159,0),IF($D159="Per kwartaal",IF(MOD(8-$W159,3)=0,$C159,0),$F159))))))</f>
        <v/>
      </c>
      <c r="S159" s="107" t="str">
        <f aca="false">IF($C159="","",IF(Dashboard!$C$4="Gemiddeld per maand",$F159,IF(OR($D159="Per maand",$D159="Per week",$D159=""),$F159,IF($D159="Per jaar",IF(9=$W159,$C159,0),IF($D159="Per half jaar",IF(MOD(9-$W159,6)=0,$C159,0),IF($D159="Per kwartaal",IF(MOD(9-$W159,3)=0,$C159,0),$F159))))))</f>
        <v/>
      </c>
      <c r="T159" s="107" t="str">
        <f aca="false">IF($C159="","",IF(Dashboard!$C$4="Gemiddeld per maand",$F159,IF(OR($D159="Per maand",$D159="Per week",$D159=""),$F159,IF($D159="Per jaar",IF(10=$W159,$C159,0),IF($D159="Per half jaar",IF(MOD(10-$W159,6)=0,$C159,0),IF($D159="Per kwartaal",IF(MOD(10-$W159,3)=0,$C159,0),$F159))))))</f>
        <v/>
      </c>
      <c r="U159" s="107" t="str">
        <f aca="false">IF($C159="","",IF(Dashboard!$C$4="Gemiddeld per maand",$F159,IF(OR($D159="Per maand",$D159="Per week",$D159=""),$F159,IF($D159="Per jaar",IF(11=$W159,$C159,0),IF($D159="Per half jaar",IF(MOD(11-$W159,6)=0,$C159,0),IF($D159="Per kwartaal",IF(MOD(11-$W159,3)=0,$C159,0),$F159))))))</f>
        <v/>
      </c>
      <c r="V159" s="107" t="str">
        <f aca="false">IF($C159="","",IF(Dashboard!$C$4="Gemiddeld per maand",$F159,IF(OR($D159="Per maand",$D159="Per week",$D159=""),$F159,IF($D159="Per jaar",IF(12=$W159,$C159,0),IF($D159="Per half jaar",IF(MOD(12-$W159,6)=0,$C159,0),IF($D159="Per kwartaal",IF(MOD(12-$W159,3)=0,$C159,0),$F159))))))</f>
        <v/>
      </c>
      <c r="W159" s="15" t="n">
        <f aca="false">IF($E159="",1,IFERROR(MATCH($E159,Lijsten!$K$6:$K$17,0),1))</f>
        <v>1</v>
      </c>
    </row>
    <row r="160" customFormat="false" ht="15" hidden="false" customHeight="false" outlineLevel="0" collapsed="false">
      <c r="A160" s="102"/>
      <c r="B160" s="102"/>
      <c r="C160" s="92"/>
      <c r="D160" s="102"/>
      <c r="E160" s="103"/>
      <c r="F160" s="104" t="str">
        <f aca="false">IF($C160="","",IF($D160="Per jaar",$C160/12,IF($D160="Per kwartaal",$C160/3,IF($D160="Per half jaar",$C160/6,IF($D160="Per week",$C160*52/12,$C160)))))</f>
        <v/>
      </c>
      <c r="G160" s="102"/>
      <c r="H160" s="103"/>
      <c r="I160" s="105"/>
      <c r="J160" s="106" t="str">
        <f aca="false">IF($C160="","",IF(Dashboard!$C$4="Gemiddeld per maand",$F160,IF(OR($D160="Per maand",$D160="Per week",$D160=""),$F160,IF($D160="Per jaar",IF(Dashboard!$N$2=$W160,$C160,0),IF($D160="Per half jaar",IF(MOD(Dashboard!$N$2-$W160,6)=0,$C160,0),IF($D160="Per kwartaal",IF(MOD(Dashboard!$N$2-$W160,3)=0,$C160,0),$F160))))))</f>
        <v/>
      </c>
      <c r="K160" s="107" t="str">
        <f aca="false">IF($C160="","",IF(Dashboard!$C$4="Gemiddeld per maand",$F160,IF(OR($D160="Per maand",$D160="Per week",$D160=""),$F160,IF($D160="Per jaar",IF(1=$W160,$C160,0),IF($D160="Per half jaar",IF(MOD(1-$W160,6)=0,$C160,0),IF($D160="Per kwartaal",IF(MOD(1-$W160,3)=0,$C160,0),$F160))))))</f>
        <v/>
      </c>
      <c r="L160" s="107" t="str">
        <f aca="false">IF($C160="","",IF(Dashboard!$C$4="Gemiddeld per maand",$F160,IF(OR($D160="Per maand",$D160="Per week",$D160=""),$F160,IF($D160="Per jaar",IF(2=$W160,$C160,0),IF($D160="Per half jaar",IF(MOD(2-$W160,6)=0,$C160,0),IF($D160="Per kwartaal",IF(MOD(2-$W160,3)=0,$C160,0),$F160))))))</f>
        <v/>
      </c>
      <c r="M160" s="107" t="str">
        <f aca="false">IF($C160="","",IF(Dashboard!$C$4="Gemiddeld per maand",$F160,IF(OR($D160="Per maand",$D160="Per week",$D160=""),$F160,IF($D160="Per jaar",IF(3=$W160,$C160,0),IF($D160="Per half jaar",IF(MOD(3-$W160,6)=0,$C160,0),IF($D160="Per kwartaal",IF(MOD(3-$W160,3)=0,$C160,0),$F160))))))</f>
        <v/>
      </c>
      <c r="N160" s="107" t="str">
        <f aca="false">IF($C160="","",IF(Dashboard!$C$4="Gemiddeld per maand",$F160,IF(OR($D160="Per maand",$D160="Per week",$D160=""),$F160,IF($D160="Per jaar",IF(4=$W160,$C160,0),IF($D160="Per half jaar",IF(MOD(4-$W160,6)=0,$C160,0),IF($D160="Per kwartaal",IF(MOD(4-$W160,3)=0,$C160,0),$F160))))))</f>
        <v/>
      </c>
      <c r="O160" s="107" t="str">
        <f aca="false">IF($C160="","",IF(Dashboard!$C$4="Gemiddeld per maand",$F160,IF(OR($D160="Per maand",$D160="Per week",$D160=""),$F160,IF($D160="Per jaar",IF(5=$W160,$C160,0),IF($D160="Per half jaar",IF(MOD(5-$W160,6)=0,$C160,0),IF($D160="Per kwartaal",IF(MOD(5-$W160,3)=0,$C160,0),$F160))))))</f>
        <v/>
      </c>
      <c r="P160" s="107" t="str">
        <f aca="false">IF($C160="","",IF(Dashboard!$C$4="Gemiddeld per maand",$F160,IF(OR($D160="Per maand",$D160="Per week",$D160=""),$F160,IF($D160="Per jaar",IF(6=$W160,$C160,0),IF($D160="Per half jaar",IF(MOD(6-$W160,6)=0,$C160,0),IF($D160="Per kwartaal",IF(MOD(6-$W160,3)=0,$C160,0),$F160))))))</f>
        <v/>
      </c>
      <c r="Q160" s="107" t="str">
        <f aca="false">IF($C160="","",IF(Dashboard!$C$4="Gemiddeld per maand",$F160,IF(OR($D160="Per maand",$D160="Per week",$D160=""),$F160,IF($D160="Per jaar",IF(7=$W160,$C160,0),IF($D160="Per half jaar",IF(MOD(7-$W160,6)=0,$C160,0),IF($D160="Per kwartaal",IF(MOD(7-$W160,3)=0,$C160,0),$F160))))))</f>
        <v/>
      </c>
      <c r="R160" s="107" t="str">
        <f aca="false">IF($C160="","",IF(Dashboard!$C$4="Gemiddeld per maand",$F160,IF(OR($D160="Per maand",$D160="Per week",$D160=""),$F160,IF($D160="Per jaar",IF(8=$W160,$C160,0),IF($D160="Per half jaar",IF(MOD(8-$W160,6)=0,$C160,0),IF($D160="Per kwartaal",IF(MOD(8-$W160,3)=0,$C160,0),$F160))))))</f>
        <v/>
      </c>
      <c r="S160" s="107" t="str">
        <f aca="false">IF($C160="","",IF(Dashboard!$C$4="Gemiddeld per maand",$F160,IF(OR($D160="Per maand",$D160="Per week",$D160=""),$F160,IF($D160="Per jaar",IF(9=$W160,$C160,0),IF($D160="Per half jaar",IF(MOD(9-$W160,6)=0,$C160,0),IF($D160="Per kwartaal",IF(MOD(9-$W160,3)=0,$C160,0),$F160))))))</f>
        <v/>
      </c>
      <c r="T160" s="107" t="str">
        <f aca="false">IF($C160="","",IF(Dashboard!$C$4="Gemiddeld per maand",$F160,IF(OR($D160="Per maand",$D160="Per week",$D160=""),$F160,IF($D160="Per jaar",IF(10=$W160,$C160,0),IF($D160="Per half jaar",IF(MOD(10-$W160,6)=0,$C160,0),IF($D160="Per kwartaal",IF(MOD(10-$W160,3)=0,$C160,0),$F160))))))</f>
        <v/>
      </c>
      <c r="U160" s="107" t="str">
        <f aca="false">IF($C160="","",IF(Dashboard!$C$4="Gemiddeld per maand",$F160,IF(OR($D160="Per maand",$D160="Per week",$D160=""),$F160,IF($D160="Per jaar",IF(11=$W160,$C160,0),IF($D160="Per half jaar",IF(MOD(11-$W160,6)=0,$C160,0),IF($D160="Per kwartaal",IF(MOD(11-$W160,3)=0,$C160,0),$F160))))))</f>
        <v/>
      </c>
      <c r="V160" s="107" t="str">
        <f aca="false">IF($C160="","",IF(Dashboard!$C$4="Gemiddeld per maand",$F160,IF(OR($D160="Per maand",$D160="Per week",$D160=""),$F160,IF($D160="Per jaar",IF(12=$W160,$C160,0),IF($D160="Per half jaar",IF(MOD(12-$W160,6)=0,$C160,0),IF($D160="Per kwartaal",IF(MOD(12-$W160,3)=0,$C160,0),$F160))))))</f>
        <v/>
      </c>
      <c r="W160" s="15" t="n">
        <f aca="false">IF($E160="",1,IFERROR(MATCH($E160,Lijsten!$K$6:$K$17,0),1))</f>
        <v>1</v>
      </c>
    </row>
    <row r="161" customFormat="false" ht="15" hidden="false" customHeight="false" outlineLevel="0" collapsed="false">
      <c r="A161" s="102"/>
      <c r="B161" s="102"/>
      <c r="C161" s="92"/>
      <c r="D161" s="102"/>
      <c r="E161" s="103"/>
      <c r="F161" s="104" t="str">
        <f aca="false">IF($C161="","",IF($D161="Per jaar",$C161/12,IF($D161="Per kwartaal",$C161/3,IF($D161="Per half jaar",$C161/6,IF($D161="Per week",$C161*52/12,$C161)))))</f>
        <v/>
      </c>
      <c r="G161" s="102"/>
      <c r="H161" s="103"/>
      <c r="I161" s="105"/>
      <c r="J161" s="106" t="str">
        <f aca="false">IF($C161="","",IF(Dashboard!$C$4="Gemiddeld per maand",$F161,IF(OR($D161="Per maand",$D161="Per week",$D161=""),$F161,IF($D161="Per jaar",IF(Dashboard!$N$2=$W161,$C161,0),IF($D161="Per half jaar",IF(MOD(Dashboard!$N$2-$W161,6)=0,$C161,0),IF($D161="Per kwartaal",IF(MOD(Dashboard!$N$2-$W161,3)=0,$C161,0),$F161))))))</f>
        <v/>
      </c>
      <c r="K161" s="107" t="str">
        <f aca="false">IF($C161="","",IF(Dashboard!$C$4="Gemiddeld per maand",$F161,IF(OR($D161="Per maand",$D161="Per week",$D161=""),$F161,IF($D161="Per jaar",IF(1=$W161,$C161,0),IF($D161="Per half jaar",IF(MOD(1-$W161,6)=0,$C161,0),IF($D161="Per kwartaal",IF(MOD(1-$W161,3)=0,$C161,0),$F161))))))</f>
        <v/>
      </c>
      <c r="L161" s="107" t="str">
        <f aca="false">IF($C161="","",IF(Dashboard!$C$4="Gemiddeld per maand",$F161,IF(OR($D161="Per maand",$D161="Per week",$D161=""),$F161,IF($D161="Per jaar",IF(2=$W161,$C161,0),IF($D161="Per half jaar",IF(MOD(2-$W161,6)=0,$C161,0),IF($D161="Per kwartaal",IF(MOD(2-$W161,3)=0,$C161,0),$F161))))))</f>
        <v/>
      </c>
      <c r="M161" s="107" t="str">
        <f aca="false">IF($C161="","",IF(Dashboard!$C$4="Gemiddeld per maand",$F161,IF(OR($D161="Per maand",$D161="Per week",$D161=""),$F161,IF($D161="Per jaar",IF(3=$W161,$C161,0),IF($D161="Per half jaar",IF(MOD(3-$W161,6)=0,$C161,0),IF($D161="Per kwartaal",IF(MOD(3-$W161,3)=0,$C161,0),$F161))))))</f>
        <v/>
      </c>
      <c r="N161" s="107" t="str">
        <f aca="false">IF($C161="","",IF(Dashboard!$C$4="Gemiddeld per maand",$F161,IF(OR($D161="Per maand",$D161="Per week",$D161=""),$F161,IF($D161="Per jaar",IF(4=$W161,$C161,0),IF($D161="Per half jaar",IF(MOD(4-$W161,6)=0,$C161,0),IF($D161="Per kwartaal",IF(MOD(4-$W161,3)=0,$C161,0),$F161))))))</f>
        <v/>
      </c>
      <c r="O161" s="107" t="str">
        <f aca="false">IF($C161="","",IF(Dashboard!$C$4="Gemiddeld per maand",$F161,IF(OR($D161="Per maand",$D161="Per week",$D161=""),$F161,IF($D161="Per jaar",IF(5=$W161,$C161,0),IF($D161="Per half jaar",IF(MOD(5-$W161,6)=0,$C161,0),IF($D161="Per kwartaal",IF(MOD(5-$W161,3)=0,$C161,0),$F161))))))</f>
        <v/>
      </c>
      <c r="P161" s="107" t="str">
        <f aca="false">IF($C161="","",IF(Dashboard!$C$4="Gemiddeld per maand",$F161,IF(OR($D161="Per maand",$D161="Per week",$D161=""),$F161,IF($D161="Per jaar",IF(6=$W161,$C161,0),IF($D161="Per half jaar",IF(MOD(6-$W161,6)=0,$C161,0),IF($D161="Per kwartaal",IF(MOD(6-$W161,3)=0,$C161,0),$F161))))))</f>
        <v/>
      </c>
      <c r="Q161" s="107" t="str">
        <f aca="false">IF($C161="","",IF(Dashboard!$C$4="Gemiddeld per maand",$F161,IF(OR($D161="Per maand",$D161="Per week",$D161=""),$F161,IF($D161="Per jaar",IF(7=$W161,$C161,0),IF($D161="Per half jaar",IF(MOD(7-$W161,6)=0,$C161,0),IF($D161="Per kwartaal",IF(MOD(7-$W161,3)=0,$C161,0),$F161))))))</f>
        <v/>
      </c>
      <c r="R161" s="107" t="str">
        <f aca="false">IF($C161="","",IF(Dashboard!$C$4="Gemiddeld per maand",$F161,IF(OR($D161="Per maand",$D161="Per week",$D161=""),$F161,IF($D161="Per jaar",IF(8=$W161,$C161,0),IF($D161="Per half jaar",IF(MOD(8-$W161,6)=0,$C161,0),IF($D161="Per kwartaal",IF(MOD(8-$W161,3)=0,$C161,0),$F161))))))</f>
        <v/>
      </c>
      <c r="S161" s="107" t="str">
        <f aca="false">IF($C161="","",IF(Dashboard!$C$4="Gemiddeld per maand",$F161,IF(OR($D161="Per maand",$D161="Per week",$D161=""),$F161,IF($D161="Per jaar",IF(9=$W161,$C161,0),IF($D161="Per half jaar",IF(MOD(9-$W161,6)=0,$C161,0),IF($D161="Per kwartaal",IF(MOD(9-$W161,3)=0,$C161,0),$F161))))))</f>
        <v/>
      </c>
      <c r="T161" s="107" t="str">
        <f aca="false">IF($C161="","",IF(Dashboard!$C$4="Gemiddeld per maand",$F161,IF(OR($D161="Per maand",$D161="Per week",$D161=""),$F161,IF($D161="Per jaar",IF(10=$W161,$C161,0),IF($D161="Per half jaar",IF(MOD(10-$W161,6)=0,$C161,0),IF($D161="Per kwartaal",IF(MOD(10-$W161,3)=0,$C161,0),$F161))))))</f>
        <v/>
      </c>
      <c r="U161" s="107" t="str">
        <f aca="false">IF($C161="","",IF(Dashboard!$C$4="Gemiddeld per maand",$F161,IF(OR($D161="Per maand",$D161="Per week",$D161=""),$F161,IF($D161="Per jaar",IF(11=$W161,$C161,0),IF($D161="Per half jaar",IF(MOD(11-$W161,6)=0,$C161,0),IF($D161="Per kwartaal",IF(MOD(11-$W161,3)=0,$C161,0),$F161))))))</f>
        <v/>
      </c>
      <c r="V161" s="107" t="str">
        <f aca="false">IF($C161="","",IF(Dashboard!$C$4="Gemiddeld per maand",$F161,IF(OR($D161="Per maand",$D161="Per week",$D161=""),$F161,IF($D161="Per jaar",IF(12=$W161,$C161,0),IF($D161="Per half jaar",IF(MOD(12-$W161,6)=0,$C161,0),IF($D161="Per kwartaal",IF(MOD(12-$W161,3)=0,$C161,0),$F161))))))</f>
        <v/>
      </c>
      <c r="W161" s="15" t="n">
        <f aca="false">IF($E161="",1,IFERROR(MATCH($E161,Lijsten!$K$6:$K$17,0),1))</f>
        <v>1</v>
      </c>
    </row>
    <row r="162" customFormat="false" ht="15" hidden="false" customHeight="false" outlineLevel="0" collapsed="false">
      <c r="A162" s="102"/>
      <c r="B162" s="102"/>
      <c r="C162" s="92"/>
      <c r="D162" s="102"/>
      <c r="E162" s="103"/>
      <c r="F162" s="104" t="str">
        <f aca="false">IF($C162="","",IF($D162="Per jaar",$C162/12,IF($D162="Per kwartaal",$C162/3,IF($D162="Per half jaar",$C162/6,IF($D162="Per week",$C162*52/12,$C162)))))</f>
        <v/>
      </c>
      <c r="G162" s="102"/>
      <c r="H162" s="103"/>
      <c r="I162" s="105"/>
      <c r="J162" s="106" t="str">
        <f aca="false">IF($C162="","",IF(Dashboard!$C$4="Gemiddeld per maand",$F162,IF(OR($D162="Per maand",$D162="Per week",$D162=""),$F162,IF($D162="Per jaar",IF(Dashboard!$N$2=$W162,$C162,0),IF($D162="Per half jaar",IF(MOD(Dashboard!$N$2-$W162,6)=0,$C162,0),IF($D162="Per kwartaal",IF(MOD(Dashboard!$N$2-$W162,3)=0,$C162,0),$F162))))))</f>
        <v/>
      </c>
      <c r="K162" s="107" t="str">
        <f aca="false">IF($C162="","",IF(Dashboard!$C$4="Gemiddeld per maand",$F162,IF(OR($D162="Per maand",$D162="Per week",$D162=""),$F162,IF($D162="Per jaar",IF(1=$W162,$C162,0),IF($D162="Per half jaar",IF(MOD(1-$W162,6)=0,$C162,0),IF($D162="Per kwartaal",IF(MOD(1-$W162,3)=0,$C162,0),$F162))))))</f>
        <v/>
      </c>
      <c r="L162" s="107" t="str">
        <f aca="false">IF($C162="","",IF(Dashboard!$C$4="Gemiddeld per maand",$F162,IF(OR($D162="Per maand",$D162="Per week",$D162=""),$F162,IF($D162="Per jaar",IF(2=$W162,$C162,0),IF($D162="Per half jaar",IF(MOD(2-$W162,6)=0,$C162,0),IF($D162="Per kwartaal",IF(MOD(2-$W162,3)=0,$C162,0),$F162))))))</f>
        <v/>
      </c>
      <c r="M162" s="107" t="str">
        <f aca="false">IF($C162="","",IF(Dashboard!$C$4="Gemiddeld per maand",$F162,IF(OR($D162="Per maand",$D162="Per week",$D162=""),$F162,IF($D162="Per jaar",IF(3=$W162,$C162,0),IF($D162="Per half jaar",IF(MOD(3-$W162,6)=0,$C162,0),IF($D162="Per kwartaal",IF(MOD(3-$W162,3)=0,$C162,0),$F162))))))</f>
        <v/>
      </c>
      <c r="N162" s="107" t="str">
        <f aca="false">IF($C162="","",IF(Dashboard!$C$4="Gemiddeld per maand",$F162,IF(OR($D162="Per maand",$D162="Per week",$D162=""),$F162,IF($D162="Per jaar",IF(4=$W162,$C162,0),IF($D162="Per half jaar",IF(MOD(4-$W162,6)=0,$C162,0),IF($D162="Per kwartaal",IF(MOD(4-$W162,3)=0,$C162,0),$F162))))))</f>
        <v/>
      </c>
      <c r="O162" s="107" t="str">
        <f aca="false">IF($C162="","",IF(Dashboard!$C$4="Gemiddeld per maand",$F162,IF(OR($D162="Per maand",$D162="Per week",$D162=""),$F162,IF($D162="Per jaar",IF(5=$W162,$C162,0),IF($D162="Per half jaar",IF(MOD(5-$W162,6)=0,$C162,0),IF($D162="Per kwartaal",IF(MOD(5-$W162,3)=0,$C162,0),$F162))))))</f>
        <v/>
      </c>
      <c r="P162" s="107" t="str">
        <f aca="false">IF($C162="","",IF(Dashboard!$C$4="Gemiddeld per maand",$F162,IF(OR($D162="Per maand",$D162="Per week",$D162=""),$F162,IF($D162="Per jaar",IF(6=$W162,$C162,0),IF($D162="Per half jaar",IF(MOD(6-$W162,6)=0,$C162,0),IF($D162="Per kwartaal",IF(MOD(6-$W162,3)=0,$C162,0),$F162))))))</f>
        <v/>
      </c>
      <c r="Q162" s="107" t="str">
        <f aca="false">IF($C162="","",IF(Dashboard!$C$4="Gemiddeld per maand",$F162,IF(OR($D162="Per maand",$D162="Per week",$D162=""),$F162,IF($D162="Per jaar",IF(7=$W162,$C162,0),IF($D162="Per half jaar",IF(MOD(7-$W162,6)=0,$C162,0),IF($D162="Per kwartaal",IF(MOD(7-$W162,3)=0,$C162,0),$F162))))))</f>
        <v/>
      </c>
      <c r="R162" s="107" t="str">
        <f aca="false">IF($C162="","",IF(Dashboard!$C$4="Gemiddeld per maand",$F162,IF(OR($D162="Per maand",$D162="Per week",$D162=""),$F162,IF($D162="Per jaar",IF(8=$W162,$C162,0),IF($D162="Per half jaar",IF(MOD(8-$W162,6)=0,$C162,0),IF($D162="Per kwartaal",IF(MOD(8-$W162,3)=0,$C162,0),$F162))))))</f>
        <v/>
      </c>
      <c r="S162" s="107" t="str">
        <f aca="false">IF($C162="","",IF(Dashboard!$C$4="Gemiddeld per maand",$F162,IF(OR($D162="Per maand",$D162="Per week",$D162=""),$F162,IF($D162="Per jaar",IF(9=$W162,$C162,0),IF($D162="Per half jaar",IF(MOD(9-$W162,6)=0,$C162,0),IF($D162="Per kwartaal",IF(MOD(9-$W162,3)=0,$C162,0),$F162))))))</f>
        <v/>
      </c>
      <c r="T162" s="107" t="str">
        <f aca="false">IF($C162="","",IF(Dashboard!$C$4="Gemiddeld per maand",$F162,IF(OR($D162="Per maand",$D162="Per week",$D162=""),$F162,IF($D162="Per jaar",IF(10=$W162,$C162,0),IF($D162="Per half jaar",IF(MOD(10-$W162,6)=0,$C162,0),IF($D162="Per kwartaal",IF(MOD(10-$W162,3)=0,$C162,0),$F162))))))</f>
        <v/>
      </c>
      <c r="U162" s="107" t="str">
        <f aca="false">IF($C162="","",IF(Dashboard!$C$4="Gemiddeld per maand",$F162,IF(OR($D162="Per maand",$D162="Per week",$D162=""),$F162,IF($D162="Per jaar",IF(11=$W162,$C162,0),IF($D162="Per half jaar",IF(MOD(11-$W162,6)=0,$C162,0),IF($D162="Per kwartaal",IF(MOD(11-$W162,3)=0,$C162,0),$F162))))))</f>
        <v/>
      </c>
      <c r="V162" s="107" t="str">
        <f aca="false">IF($C162="","",IF(Dashboard!$C$4="Gemiddeld per maand",$F162,IF(OR($D162="Per maand",$D162="Per week",$D162=""),$F162,IF($D162="Per jaar",IF(12=$W162,$C162,0),IF($D162="Per half jaar",IF(MOD(12-$W162,6)=0,$C162,0),IF($D162="Per kwartaal",IF(MOD(12-$W162,3)=0,$C162,0),$F162))))))</f>
        <v/>
      </c>
      <c r="W162" s="15" t="n">
        <f aca="false">IF($E162="",1,IFERROR(MATCH($E162,Lijsten!$K$6:$K$17,0),1))</f>
        <v>1</v>
      </c>
    </row>
    <row r="163" customFormat="false" ht="15" hidden="false" customHeight="false" outlineLevel="0" collapsed="false">
      <c r="A163" s="102"/>
      <c r="B163" s="102"/>
      <c r="C163" s="92"/>
      <c r="D163" s="102"/>
      <c r="E163" s="103"/>
      <c r="F163" s="104" t="str">
        <f aca="false">IF($C163="","",IF($D163="Per jaar",$C163/12,IF($D163="Per kwartaal",$C163/3,IF($D163="Per half jaar",$C163/6,IF($D163="Per week",$C163*52/12,$C163)))))</f>
        <v/>
      </c>
      <c r="G163" s="102"/>
      <c r="H163" s="103"/>
      <c r="I163" s="105"/>
      <c r="J163" s="106" t="str">
        <f aca="false">IF($C163="","",IF(Dashboard!$C$4="Gemiddeld per maand",$F163,IF(OR($D163="Per maand",$D163="Per week",$D163=""),$F163,IF($D163="Per jaar",IF(Dashboard!$N$2=$W163,$C163,0),IF($D163="Per half jaar",IF(MOD(Dashboard!$N$2-$W163,6)=0,$C163,0),IF($D163="Per kwartaal",IF(MOD(Dashboard!$N$2-$W163,3)=0,$C163,0),$F163))))))</f>
        <v/>
      </c>
      <c r="K163" s="107" t="str">
        <f aca="false">IF($C163="","",IF(Dashboard!$C$4="Gemiddeld per maand",$F163,IF(OR($D163="Per maand",$D163="Per week",$D163=""),$F163,IF($D163="Per jaar",IF(1=$W163,$C163,0),IF($D163="Per half jaar",IF(MOD(1-$W163,6)=0,$C163,0),IF($D163="Per kwartaal",IF(MOD(1-$W163,3)=0,$C163,0),$F163))))))</f>
        <v/>
      </c>
      <c r="L163" s="107" t="str">
        <f aca="false">IF($C163="","",IF(Dashboard!$C$4="Gemiddeld per maand",$F163,IF(OR($D163="Per maand",$D163="Per week",$D163=""),$F163,IF($D163="Per jaar",IF(2=$W163,$C163,0),IF($D163="Per half jaar",IF(MOD(2-$W163,6)=0,$C163,0),IF($D163="Per kwartaal",IF(MOD(2-$W163,3)=0,$C163,0),$F163))))))</f>
        <v/>
      </c>
      <c r="M163" s="107" t="str">
        <f aca="false">IF($C163="","",IF(Dashboard!$C$4="Gemiddeld per maand",$F163,IF(OR($D163="Per maand",$D163="Per week",$D163=""),$F163,IF($D163="Per jaar",IF(3=$W163,$C163,0),IF($D163="Per half jaar",IF(MOD(3-$W163,6)=0,$C163,0),IF($D163="Per kwartaal",IF(MOD(3-$W163,3)=0,$C163,0),$F163))))))</f>
        <v/>
      </c>
      <c r="N163" s="107" t="str">
        <f aca="false">IF($C163="","",IF(Dashboard!$C$4="Gemiddeld per maand",$F163,IF(OR($D163="Per maand",$D163="Per week",$D163=""),$F163,IF($D163="Per jaar",IF(4=$W163,$C163,0),IF($D163="Per half jaar",IF(MOD(4-$W163,6)=0,$C163,0),IF($D163="Per kwartaal",IF(MOD(4-$W163,3)=0,$C163,0),$F163))))))</f>
        <v/>
      </c>
      <c r="O163" s="107" t="str">
        <f aca="false">IF($C163="","",IF(Dashboard!$C$4="Gemiddeld per maand",$F163,IF(OR($D163="Per maand",$D163="Per week",$D163=""),$F163,IF($D163="Per jaar",IF(5=$W163,$C163,0),IF($D163="Per half jaar",IF(MOD(5-$W163,6)=0,$C163,0),IF($D163="Per kwartaal",IF(MOD(5-$W163,3)=0,$C163,0),$F163))))))</f>
        <v/>
      </c>
      <c r="P163" s="107" t="str">
        <f aca="false">IF($C163="","",IF(Dashboard!$C$4="Gemiddeld per maand",$F163,IF(OR($D163="Per maand",$D163="Per week",$D163=""),$F163,IF($D163="Per jaar",IF(6=$W163,$C163,0),IF($D163="Per half jaar",IF(MOD(6-$W163,6)=0,$C163,0),IF($D163="Per kwartaal",IF(MOD(6-$W163,3)=0,$C163,0),$F163))))))</f>
        <v/>
      </c>
      <c r="Q163" s="107" t="str">
        <f aca="false">IF($C163="","",IF(Dashboard!$C$4="Gemiddeld per maand",$F163,IF(OR($D163="Per maand",$D163="Per week",$D163=""),$F163,IF($D163="Per jaar",IF(7=$W163,$C163,0),IF($D163="Per half jaar",IF(MOD(7-$W163,6)=0,$C163,0),IF($D163="Per kwartaal",IF(MOD(7-$W163,3)=0,$C163,0),$F163))))))</f>
        <v/>
      </c>
      <c r="R163" s="107" t="str">
        <f aca="false">IF($C163="","",IF(Dashboard!$C$4="Gemiddeld per maand",$F163,IF(OR($D163="Per maand",$D163="Per week",$D163=""),$F163,IF($D163="Per jaar",IF(8=$W163,$C163,0),IF($D163="Per half jaar",IF(MOD(8-$W163,6)=0,$C163,0),IF($D163="Per kwartaal",IF(MOD(8-$W163,3)=0,$C163,0),$F163))))))</f>
        <v/>
      </c>
      <c r="S163" s="107" t="str">
        <f aca="false">IF($C163="","",IF(Dashboard!$C$4="Gemiddeld per maand",$F163,IF(OR($D163="Per maand",$D163="Per week",$D163=""),$F163,IF($D163="Per jaar",IF(9=$W163,$C163,0),IF($D163="Per half jaar",IF(MOD(9-$W163,6)=0,$C163,0),IF($D163="Per kwartaal",IF(MOD(9-$W163,3)=0,$C163,0),$F163))))))</f>
        <v/>
      </c>
      <c r="T163" s="107" t="str">
        <f aca="false">IF($C163="","",IF(Dashboard!$C$4="Gemiddeld per maand",$F163,IF(OR($D163="Per maand",$D163="Per week",$D163=""),$F163,IF($D163="Per jaar",IF(10=$W163,$C163,0),IF($D163="Per half jaar",IF(MOD(10-$W163,6)=0,$C163,0),IF($D163="Per kwartaal",IF(MOD(10-$W163,3)=0,$C163,0),$F163))))))</f>
        <v/>
      </c>
      <c r="U163" s="107" t="str">
        <f aca="false">IF($C163="","",IF(Dashboard!$C$4="Gemiddeld per maand",$F163,IF(OR($D163="Per maand",$D163="Per week",$D163=""),$F163,IF($D163="Per jaar",IF(11=$W163,$C163,0),IF($D163="Per half jaar",IF(MOD(11-$W163,6)=0,$C163,0),IF($D163="Per kwartaal",IF(MOD(11-$W163,3)=0,$C163,0),$F163))))))</f>
        <v/>
      </c>
      <c r="V163" s="107" t="str">
        <f aca="false">IF($C163="","",IF(Dashboard!$C$4="Gemiddeld per maand",$F163,IF(OR($D163="Per maand",$D163="Per week",$D163=""),$F163,IF($D163="Per jaar",IF(12=$W163,$C163,0),IF($D163="Per half jaar",IF(MOD(12-$W163,6)=0,$C163,0),IF($D163="Per kwartaal",IF(MOD(12-$W163,3)=0,$C163,0),$F163))))))</f>
        <v/>
      </c>
      <c r="W163" s="15" t="n">
        <f aca="false">IF($E163="",1,IFERROR(MATCH($E163,Lijsten!$K$6:$K$17,0),1))</f>
        <v>1</v>
      </c>
    </row>
    <row r="164" customFormat="false" ht="15" hidden="false" customHeight="false" outlineLevel="0" collapsed="false">
      <c r="A164" s="102"/>
      <c r="B164" s="102"/>
      <c r="C164" s="92"/>
      <c r="D164" s="102"/>
      <c r="E164" s="103"/>
      <c r="F164" s="104" t="str">
        <f aca="false">IF($C164="","",IF($D164="Per jaar",$C164/12,IF($D164="Per kwartaal",$C164/3,IF($D164="Per half jaar",$C164/6,IF($D164="Per week",$C164*52/12,$C164)))))</f>
        <v/>
      </c>
      <c r="G164" s="102"/>
      <c r="H164" s="103"/>
      <c r="I164" s="105"/>
      <c r="J164" s="106" t="str">
        <f aca="false">IF($C164="","",IF(Dashboard!$C$4="Gemiddeld per maand",$F164,IF(OR($D164="Per maand",$D164="Per week",$D164=""),$F164,IF($D164="Per jaar",IF(Dashboard!$N$2=$W164,$C164,0),IF($D164="Per half jaar",IF(MOD(Dashboard!$N$2-$W164,6)=0,$C164,0),IF($D164="Per kwartaal",IF(MOD(Dashboard!$N$2-$W164,3)=0,$C164,0),$F164))))))</f>
        <v/>
      </c>
      <c r="K164" s="107" t="str">
        <f aca="false">IF($C164="","",IF(Dashboard!$C$4="Gemiddeld per maand",$F164,IF(OR($D164="Per maand",$D164="Per week",$D164=""),$F164,IF($D164="Per jaar",IF(1=$W164,$C164,0),IF($D164="Per half jaar",IF(MOD(1-$W164,6)=0,$C164,0),IF($D164="Per kwartaal",IF(MOD(1-$W164,3)=0,$C164,0),$F164))))))</f>
        <v/>
      </c>
      <c r="L164" s="107" t="str">
        <f aca="false">IF($C164="","",IF(Dashboard!$C$4="Gemiddeld per maand",$F164,IF(OR($D164="Per maand",$D164="Per week",$D164=""),$F164,IF($D164="Per jaar",IF(2=$W164,$C164,0),IF($D164="Per half jaar",IF(MOD(2-$W164,6)=0,$C164,0),IF($D164="Per kwartaal",IF(MOD(2-$W164,3)=0,$C164,0),$F164))))))</f>
        <v/>
      </c>
      <c r="M164" s="107" t="str">
        <f aca="false">IF($C164="","",IF(Dashboard!$C$4="Gemiddeld per maand",$F164,IF(OR($D164="Per maand",$D164="Per week",$D164=""),$F164,IF($D164="Per jaar",IF(3=$W164,$C164,0),IF($D164="Per half jaar",IF(MOD(3-$W164,6)=0,$C164,0),IF($D164="Per kwartaal",IF(MOD(3-$W164,3)=0,$C164,0),$F164))))))</f>
        <v/>
      </c>
      <c r="N164" s="107" t="str">
        <f aca="false">IF($C164="","",IF(Dashboard!$C$4="Gemiddeld per maand",$F164,IF(OR($D164="Per maand",$D164="Per week",$D164=""),$F164,IF($D164="Per jaar",IF(4=$W164,$C164,0),IF($D164="Per half jaar",IF(MOD(4-$W164,6)=0,$C164,0),IF($D164="Per kwartaal",IF(MOD(4-$W164,3)=0,$C164,0),$F164))))))</f>
        <v/>
      </c>
      <c r="O164" s="107" t="str">
        <f aca="false">IF($C164="","",IF(Dashboard!$C$4="Gemiddeld per maand",$F164,IF(OR($D164="Per maand",$D164="Per week",$D164=""),$F164,IF($D164="Per jaar",IF(5=$W164,$C164,0),IF($D164="Per half jaar",IF(MOD(5-$W164,6)=0,$C164,0),IF($D164="Per kwartaal",IF(MOD(5-$W164,3)=0,$C164,0),$F164))))))</f>
        <v/>
      </c>
      <c r="P164" s="107" t="str">
        <f aca="false">IF($C164="","",IF(Dashboard!$C$4="Gemiddeld per maand",$F164,IF(OR($D164="Per maand",$D164="Per week",$D164=""),$F164,IF($D164="Per jaar",IF(6=$W164,$C164,0),IF($D164="Per half jaar",IF(MOD(6-$W164,6)=0,$C164,0),IF($D164="Per kwartaal",IF(MOD(6-$W164,3)=0,$C164,0),$F164))))))</f>
        <v/>
      </c>
      <c r="Q164" s="107" t="str">
        <f aca="false">IF($C164="","",IF(Dashboard!$C$4="Gemiddeld per maand",$F164,IF(OR($D164="Per maand",$D164="Per week",$D164=""),$F164,IF($D164="Per jaar",IF(7=$W164,$C164,0),IF($D164="Per half jaar",IF(MOD(7-$W164,6)=0,$C164,0),IF($D164="Per kwartaal",IF(MOD(7-$W164,3)=0,$C164,0),$F164))))))</f>
        <v/>
      </c>
      <c r="R164" s="107" t="str">
        <f aca="false">IF($C164="","",IF(Dashboard!$C$4="Gemiddeld per maand",$F164,IF(OR($D164="Per maand",$D164="Per week",$D164=""),$F164,IF($D164="Per jaar",IF(8=$W164,$C164,0),IF($D164="Per half jaar",IF(MOD(8-$W164,6)=0,$C164,0),IF($D164="Per kwartaal",IF(MOD(8-$W164,3)=0,$C164,0),$F164))))))</f>
        <v/>
      </c>
      <c r="S164" s="107" t="str">
        <f aca="false">IF($C164="","",IF(Dashboard!$C$4="Gemiddeld per maand",$F164,IF(OR($D164="Per maand",$D164="Per week",$D164=""),$F164,IF($D164="Per jaar",IF(9=$W164,$C164,0),IF($D164="Per half jaar",IF(MOD(9-$W164,6)=0,$C164,0),IF($D164="Per kwartaal",IF(MOD(9-$W164,3)=0,$C164,0),$F164))))))</f>
        <v/>
      </c>
      <c r="T164" s="107" t="str">
        <f aca="false">IF($C164="","",IF(Dashboard!$C$4="Gemiddeld per maand",$F164,IF(OR($D164="Per maand",$D164="Per week",$D164=""),$F164,IF($D164="Per jaar",IF(10=$W164,$C164,0),IF($D164="Per half jaar",IF(MOD(10-$W164,6)=0,$C164,0),IF($D164="Per kwartaal",IF(MOD(10-$W164,3)=0,$C164,0),$F164))))))</f>
        <v/>
      </c>
      <c r="U164" s="107" t="str">
        <f aca="false">IF($C164="","",IF(Dashboard!$C$4="Gemiddeld per maand",$F164,IF(OR($D164="Per maand",$D164="Per week",$D164=""),$F164,IF($D164="Per jaar",IF(11=$W164,$C164,0),IF($D164="Per half jaar",IF(MOD(11-$W164,6)=0,$C164,0),IF($D164="Per kwartaal",IF(MOD(11-$W164,3)=0,$C164,0),$F164))))))</f>
        <v/>
      </c>
      <c r="V164" s="107" t="str">
        <f aca="false">IF($C164="","",IF(Dashboard!$C$4="Gemiddeld per maand",$F164,IF(OR($D164="Per maand",$D164="Per week",$D164=""),$F164,IF($D164="Per jaar",IF(12=$W164,$C164,0),IF($D164="Per half jaar",IF(MOD(12-$W164,6)=0,$C164,0),IF($D164="Per kwartaal",IF(MOD(12-$W164,3)=0,$C164,0),$F164))))))</f>
        <v/>
      </c>
      <c r="W164" s="15" t="n">
        <f aca="false">IF($E164="",1,IFERROR(MATCH($E164,Lijsten!$K$6:$K$17,0),1))</f>
        <v>1</v>
      </c>
    </row>
    <row r="165" customFormat="false" ht="15" hidden="false" customHeight="false" outlineLevel="0" collapsed="false">
      <c r="A165" s="102"/>
      <c r="B165" s="102"/>
      <c r="C165" s="92"/>
      <c r="D165" s="102"/>
      <c r="E165" s="103"/>
      <c r="F165" s="104" t="str">
        <f aca="false">IF($C165="","",IF($D165="Per jaar",$C165/12,IF($D165="Per kwartaal",$C165/3,IF($D165="Per half jaar",$C165/6,IF($D165="Per week",$C165*52/12,$C165)))))</f>
        <v/>
      </c>
      <c r="G165" s="102"/>
      <c r="H165" s="103"/>
      <c r="I165" s="105"/>
      <c r="J165" s="106" t="str">
        <f aca="false">IF($C165="","",IF(Dashboard!$C$4="Gemiddeld per maand",$F165,IF(OR($D165="Per maand",$D165="Per week",$D165=""),$F165,IF($D165="Per jaar",IF(Dashboard!$N$2=$W165,$C165,0),IF($D165="Per half jaar",IF(MOD(Dashboard!$N$2-$W165,6)=0,$C165,0),IF($D165="Per kwartaal",IF(MOD(Dashboard!$N$2-$W165,3)=0,$C165,0),$F165))))))</f>
        <v/>
      </c>
      <c r="K165" s="107" t="str">
        <f aca="false">IF($C165="","",IF(Dashboard!$C$4="Gemiddeld per maand",$F165,IF(OR($D165="Per maand",$D165="Per week",$D165=""),$F165,IF($D165="Per jaar",IF(1=$W165,$C165,0),IF($D165="Per half jaar",IF(MOD(1-$W165,6)=0,$C165,0),IF($D165="Per kwartaal",IF(MOD(1-$W165,3)=0,$C165,0),$F165))))))</f>
        <v/>
      </c>
      <c r="L165" s="107" t="str">
        <f aca="false">IF($C165="","",IF(Dashboard!$C$4="Gemiddeld per maand",$F165,IF(OR($D165="Per maand",$D165="Per week",$D165=""),$F165,IF($D165="Per jaar",IF(2=$W165,$C165,0),IF($D165="Per half jaar",IF(MOD(2-$W165,6)=0,$C165,0),IF($D165="Per kwartaal",IF(MOD(2-$W165,3)=0,$C165,0),$F165))))))</f>
        <v/>
      </c>
      <c r="M165" s="107" t="str">
        <f aca="false">IF($C165="","",IF(Dashboard!$C$4="Gemiddeld per maand",$F165,IF(OR($D165="Per maand",$D165="Per week",$D165=""),$F165,IF($D165="Per jaar",IF(3=$W165,$C165,0),IF($D165="Per half jaar",IF(MOD(3-$W165,6)=0,$C165,0),IF($D165="Per kwartaal",IF(MOD(3-$W165,3)=0,$C165,0),$F165))))))</f>
        <v/>
      </c>
      <c r="N165" s="107" t="str">
        <f aca="false">IF($C165="","",IF(Dashboard!$C$4="Gemiddeld per maand",$F165,IF(OR($D165="Per maand",$D165="Per week",$D165=""),$F165,IF($D165="Per jaar",IF(4=$W165,$C165,0),IF($D165="Per half jaar",IF(MOD(4-$W165,6)=0,$C165,0),IF($D165="Per kwartaal",IF(MOD(4-$W165,3)=0,$C165,0),$F165))))))</f>
        <v/>
      </c>
      <c r="O165" s="107" t="str">
        <f aca="false">IF($C165="","",IF(Dashboard!$C$4="Gemiddeld per maand",$F165,IF(OR($D165="Per maand",$D165="Per week",$D165=""),$F165,IF($D165="Per jaar",IF(5=$W165,$C165,0),IF($D165="Per half jaar",IF(MOD(5-$W165,6)=0,$C165,0),IF($D165="Per kwartaal",IF(MOD(5-$W165,3)=0,$C165,0),$F165))))))</f>
        <v/>
      </c>
      <c r="P165" s="107" t="str">
        <f aca="false">IF($C165="","",IF(Dashboard!$C$4="Gemiddeld per maand",$F165,IF(OR($D165="Per maand",$D165="Per week",$D165=""),$F165,IF($D165="Per jaar",IF(6=$W165,$C165,0),IF($D165="Per half jaar",IF(MOD(6-$W165,6)=0,$C165,0),IF($D165="Per kwartaal",IF(MOD(6-$W165,3)=0,$C165,0),$F165))))))</f>
        <v/>
      </c>
      <c r="Q165" s="107" t="str">
        <f aca="false">IF($C165="","",IF(Dashboard!$C$4="Gemiddeld per maand",$F165,IF(OR($D165="Per maand",$D165="Per week",$D165=""),$F165,IF($D165="Per jaar",IF(7=$W165,$C165,0),IF($D165="Per half jaar",IF(MOD(7-$W165,6)=0,$C165,0),IF($D165="Per kwartaal",IF(MOD(7-$W165,3)=0,$C165,0),$F165))))))</f>
        <v/>
      </c>
      <c r="R165" s="107" t="str">
        <f aca="false">IF($C165="","",IF(Dashboard!$C$4="Gemiddeld per maand",$F165,IF(OR($D165="Per maand",$D165="Per week",$D165=""),$F165,IF($D165="Per jaar",IF(8=$W165,$C165,0),IF($D165="Per half jaar",IF(MOD(8-$W165,6)=0,$C165,0),IF($D165="Per kwartaal",IF(MOD(8-$W165,3)=0,$C165,0),$F165))))))</f>
        <v/>
      </c>
      <c r="S165" s="107" t="str">
        <f aca="false">IF($C165="","",IF(Dashboard!$C$4="Gemiddeld per maand",$F165,IF(OR($D165="Per maand",$D165="Per week",$D165=""),$F165,IF($D165="Per jaar",IF(9=$W165,$C165,0),IF($D165="Per half jaar",IF(MOD(9-$W165,6)=0,$C165,0),IF($D165="Per kwartaal",IF(MOD(9-$W165,3)=0,$C165,0),$F165))))))</f>
        <v/>
      </c>
      <c r="T165" s="107" t="str">
        <f aca="false">IF($C165="","",IF(Dashboard!$C$4="Gemiddeld per maand",$F165,IF(OR($D165="Per maand",$D165="Per week",$D165=""),$F165,IF($D165="Per jaar",IF(10=$W165,$C165,0),IF($D165="Per half jaar",IF(MOD(10-$W165,6)=0,$C165,0),IF($D165="Per kwartaal",IF(MOD(10-$W165,3)=0,$C165,0),$F165))))))</f>
        <v/>
      </c>
      <c r="U165" s="107" t="str">
        <f aca="false">IF($C165="","",IF(Dashboard!$C$4="Gemiddeld per maand",$F165,IF(OR($D165="Per maand",$D165="Per week",$D165=""),$F165,IF($D165="Per jaar",IF(11=$W165,$C165,0),IF($D165="Per half jaar",IF(MOD(11-$W165,6)=0,$C165,0),IF($D165="Per kwartaal",IF(MOD(11-$W165,3)=0,$C165,0),$F165))))))</f>
        <v/>
      </c>
      <c r="V165" s="107" t="str">
        <f aca="false">IF($C165="","",IF(Dashboard!$C$4="Gemiddeld per maand",$F165,IF(OR($D165="Per maand",$D165="Per week",$D165=""),$F165,IF($D165="Per jaar",IF(12=$W165,$C165,0),IF($D165="Per half jaar",IF(MOD(12-$W165,6)=0,$C165,0),IF($D165="Per kwartaal",IF(MOD(12-$W165,3)=0,$C165,0),$F165))))))</f>
        <v/>
      </c>
      <c r="W165" s="15" t="n">
        <f aca="false">IF($E165="",1,IFERROR(MATCH($E165,Lijsten!$K$6:$K$17,0),1))</f>
        <v>1</v>
      </c>
    </row>
    <row r="166" customFormat="false" ht="15" hidden="false" customHeight="false" outlineLevel="0" collapsed="false">
      <c r="A166" s="102"/>
      <c r="B166" s="102"/>
      <c r="C166" s="92"/>
      <c r="D166" s="102"/>
      <c r="E166" s="103"/>
      <c r="F166" s="104" t="str">
        <f aca="false">IF($C166="","",IF($D166="Per jaar",$C166/12,IF($D166="Per kwartaal",$C166/3,IF($D166="Per half jaar",$C166/6,IF($D166="Per week",$C166*52/12,$C166)))))</f>
        <v/>
      </c>
      <c r="G166" s="102"/>
      <c r="H166" s="103"/>
      <c r="I166" s="105"/>
      <c r="J166" s="106" t="str">
        <f aca="false">IF($C166="","",IF(Dashboard!$C$4="Gemiddeld per maand",$F166,IF(OR($D166="Per maand",$D166="Per week",$D166=""),$F166,IF($D166="Per jaar",IF(Dashboard!$N$2=$W166,$C166,0),IF($D166="Per half jaar",IF(MOD(Dashboard!$N$2-$W166,6)=0,$C166,0),IF($D166="Per kwartaal",IF(MOD(Dashboard!$N$2-$W166,3)=0,$C166,0),$F166))))))</f>
        <v/>
      </c>
      <c r="K166" s="107" t="str">
        <f aca="false">IF($C166="","",IF(Dashboard!$C$4="Gemiddeld per maand",$F166,IF(OR($D166="Per maand",$D166="Per week",$D166=""),$F166,IF($D166="Per jaar",IF(1=$W166,$C166,0),IF($D166="Per half jaar",IF(MOD(1-$W166,6)=0,$C166,0),IF($D166="Per kwartaal",IF(MOD(1-$W166,3)=0,$C166,0),$F166))))))</f>
        <v/>
      </c>
      <c r="L166" s="107" t="str">
        <f aca="false">IF($C166="","",IF(Dashboard!$C$4="Gemiddeld per maand",$F166,IF(OR($D166="Per maand",$D166="Per week",$D166=""),$F166,IF($D166="Per jaar",IF(2=$W166,$C166,0),IF($D166="Per half jaar",IF(MOD(2-$W166,6)=0,$C166,0),IF($D166="Per kwartaal",IF(MOD(2-$W166,3)=0,$C166,0),$F166))))))</f>
        <v/>
      </c>
      <c r="M166" s="107" t="str">
        <f aca="false">IF($C166="","",IF(Dashboard!$C$4="Gemiddeld per maand",$F166,IF(OR($D166="Per maand",$D166="Per week",$D166=""),$F166,IF($D166="Per jaar",IF(3=$W166,$C166,0),IF($D166="Per half jaar",IF(MOD(3-$W166,6)=0,$C166,0),IF($D166="Per kwartaal",IF(MOD(3-$W166,3)=0,$C166,0),$F166))))))</f>
        <v/>
      </c>
      <c r="N166" s="107" t="str">
        <f aca="false">IF($C166="","",IF(Dashboard!$C$4="Gemiddeld per maand",$F166,IF(OR($D166="Per maand",$D166="Per week",$D166=""),$F166,IF($D166="Per jaar",IF(4=$W166,$C166,0),IF($D166="Per half jaar",IF(MOD(4-$W166,6)=0,$C166,0),IF($D166="Per kwartaal",IF(MOD(4-$W166,3)=0,$C166,0),$F166))))))</f>
        <v/>
      </c>
      <c r="O166" s="107" t="str">
        <f aca="false">IF($C166="","",IF(Dashboard!$C$4="Gemiddeld per maand",$F166,IF(OR($D166="Per maand",$D166="Per week",$D166=""),$F166,IF($D166="Per jaar",IF(5=$W166,$C166,0),IF($D166="Per half jaar",IF(MOD(5-$W166,6)=0,$C166,0),IF($D166="Per kwartaal",IF(MOD(5-$W166,3)=0,$C166,0),$F166))))))</f>
        <v/>
      </c>
      <c r="P166" s="107" t="str">
        <f aca="false">IF($C166="","",IF(Dashboard!$C$4="Gemiddeld per maand",$F166,IF(OR($D166="Per maand",$D166="Per week",$D166=""),$F166,IF($D166="Per jaar",IF(6=$W166,$C166,0),IF($D166="Per half jaar",IF(MOD(6-$W166,6)=0,$C166,0),IF($D166="Per kwartaal",IF(MOD(6-$W166,3)=0,$C166,0),$F166))))))</f>
        <v/>
      </c>
      <c r="Q166" s="107" t="str">
        <f aca="false">IF($C166="","",IF(Dashboard!$C$4="Gemiddeld per maand",$F166,IF(OR($D166="Per maand",$D166="Per week",$D166=""),$F166,IF($D166="Per jaar",IF(7=$W166,$C166,0),IF($D166="Per half jaar",IF(MOD(7-$W166,6)=0,$C166,0),IF($D166="Per kwartaal",IF(MOD(7-$W166,3)=0,$C166,0),$F166))))))</f>
        <v/>
      </c>
      <c r="R166" s="107" t="str">
        <f aca="false">IF($C166="","",IF(Dashboard!$C$4="Gemiddeld per maand",$F166,IF(OR($D166="Per maand",$D166="Per week",$D166=""),$F166,IF($D166="Per jaar",IF(8=$W166,$C166,0),IF($D166="Per half jaar",IF(MOD(8-$W166,6)=0,$C166,0),IF($D166="Per kwartaal",IF(MOD(8-$W166,3)=0,$C166,0),$F166))))))</f>
        <v/>
      </c>
      <c r="S166" s="107" t="str">
        <f aca="false">IF($C166="","",IF(Dashboard!$C$4="Gemiddeld per maand",$F166,IF(OR($D166="Per maand",$D166="Per week",$D166=""),$F166,IF($D166="Per jaar",IF(9=$W166,$C166,0),IF($D166="Per half jaar",IF(MOD(9-$W166,6)=0,$C166,0),IF($D166="Per kwartaal",IF(MOD(9-$W166,3)=0,$C166,0),$F166))))))</f>
        <v/>
      </c>
      <c r="T166" s="107" t="str">
        <f aca="false">IF($C166="","",IF(Dashboard!$C$4="Gemiddeld per maand",$F166,IF(OR($D166="Per maand",$D166="Per week",$D166=""),$F166,IF($D166="Per jaar",IF(10=$W166,$C166,0),IF($D166="Per half jaar",IF(MOD(10-$W166,6)=0,$C166,0),IF($D166="Per kwartaal",IF(MOD(10-$W166,3)=0,$C166,0),$F166))))))</f>
        <v/>
      </c>
      <c r="U166" s="107" t="str">
        <f aca="false">IF($C166="","",IF(Dashboard!$C$4="Gemiddeld per maand",$F166,IF(OR($D166="Per maand",$D166="Per week",$D166=""),$F166,IF($D166="Per jaar",IF(11=$W166,$C166,0),IF($D166="Per half jaar",IF(MOD(11-$W166,6)=0,$C166,0),IF($D166="Per kwartaal",IF(MOD(11-$W166,3)=0,$C166,0),$F166))))))</f>
        <v/>
      </c>
      <c r="V166" s="107" t="str">
        <f aca="false">IF($C166="","",IF(Dashboard!$C$4="Gemiddeld per maand",$F166,IF(OR($D166="Per maand",$D166="Per week",$D166=""),$F166,IF($D166="Per jaar",IF(12=$W166,$C166,0),IF($D166="Per half jaar",IF(MOD(12-$W166,6)=0,$C166,0),IF($D166="Per kwartaal",IF(MOD(12-$W166,3)=0,$C166,0),$F166))))))</f>
        <v/>
      </c>
      <c r="W166" s="15" t="n">
        <f aca="false">IF($E166="",1,IFERROR(MATCH($E166,Lijsten!$K$6:$K$17,0),1))</f>
        <v>1</v>
      </c>
    </row>
    <row r="167" customFormat="false" ht="15" hidden="false" customHeight="false" outlineLevel="0" collapsed="false">
      <c r="A167" s="102"/>
      <c r="B167" s="102"/>
      <c r="C167" s="92"/>
      <c r="D167" s="102"/>
      <c r="E167" s="103"/>
      <c r="F167" s="104" t="str">
        <f aca="false">IF($C167="","",IF($D167="Per jaar",$C167/12,IF($D167="Per kwartaal",$C167/3,IF($D167="Per half jaar",$C167/6,IF($D167="Per week",$C167*52/12,$C167)))))</f>
        <v/>
      </c>
      <c r="G167" s="102"/>
      <c r="H167" s="103"/>
      <c r="I167" s="105"/>
      <c r="J167" s="106" t="str">
        <f aca="false">IF($C167="","",IF(Dashboard!$C$4="Gemiddeld per maand",$F167,IF(OR($D167="Per maand",$D167="Per week",$D167=""),$F167,IF($D167="Per jaar",IF(Dashboard!$N$2=$W167,$C167,0),IF($D167="Per half jaar",IF(MOD(Dashboard!$N$2-$W167,6)=0,$C167,0),IF($D167="Per kwartaal",IF(MOD(Dashboard!$N$2-$W167,3)=0,$C167,0),$F167))))))</f>
        <v/>
      </c>
      <c r="K167" s="107" t="str">
        <f aca="false">IF($C167="","",IF(Dashboard!$C$4="Gemiddeld per maand",$F167,IF(OR($D167="Per maand",$D167="Per week",$D167=""),$F167,IF($D167="Per jaar",IF(1=$W167,$C167,0),IF($D167="Per half jaar",IF(MOD(1-$W167,6)=0,$C167,0),IF($D167="Per kwartaal",IF(MOD(1-$W167,3)=0,$C167,0),$F167))))))</f>
        <v/>
      </c>
      <c r="L167" s="107" t="str">
        <f aca="false">IF($C167="","",IF(Dashboard!$C$4="Gemiddeld per maand",$F167,IF(OR($D167="Per maand",$D167="Per week",$D167=""),$F167,IF($D167="Per jaar",IF(2=$W167,$C167,0),IF($D167="Per half jaar",IF(MOD(2-$W167,6)=0,$C167,0),IF($D167="Per kwartaal",IF(MOD(2-$W167,3)=0,$C167,0),$F167))))))</f>
        <v/>
      </c>
      <c r="M167" s="107" t="str">
        <f aca="false">IF($C167="","",IF(Dashboard!$C$4="Gemiddeld per maand",$F167,IF(OR($D167="Per maand",$D167="Per week",$D167=""),$F167,IF($D167="Per jaar",IF(3=$W167,$C167,0),IF($D167="Per half jaar",IF(MOD(3-$W167,6)=0,$C167,0),IF($D167="Per kwartaal",IF(MOD(3-$W167,3)=0,$C167,0),$F167))))))</f>
        <v/>
      </c>
      <c r="N167" s="107" t="str">
        <f aca="false">IF($C167="","",IF(Dashboard!$C$4="Gemiddeld per maand",$F167,IF(OR($D167="Per maand",$D167="Per week",$D167=""),$F167,IF($D167="Per jaar",IF(4=$W167,$C167,0),IF($D167="Per half jaar",IF(MOD(4-$W167,6)=0,$C167,0),IF($D167="Per kwartaal",IF(MOD(4-$W167,3)=0,$C167,0),$F167))))))</f>
        <v/>
      </c>
      <c r="O167" s="107" t="str">
        <f aca="false">IF($C167="","",IF(Dashboard!$C$4="Gemiddeld per maand",$F167,IF(OR($D167="Per maand",$D167="Per week",$D167=""),$F167,IF($D167="Per jaar",IF(5=$W167,$C167,0),IF($D167="Per half jaar",IF(MOD(5-$W167,6)=0,$C167,0),IF($D167="Per kwartaal",IF(MOD(5-$W167,3)=0,$C167,0),$F167))))))</f>
        <v/>
      </c>
      <c r="P167" s="107" t="str">
        <f aca="false">IF($C167="","",IF(Dashboard!$C$4="Gemiddeld per maand",$F167,IF(OR($D167="Per maand",$D167="Per week",$D167=""),$F167,IF($D167="Per jaar",IF(6=$W167,$C167,0),IF($D167="Per half jaar",IF(MOD(6-$W167,6)=0,$C167,0),IF($D167="Per kwartaal",IF(MOD(6-$W167,3)=0,$C167,0),$F167))))))</f>
        <v/>
      </c>
      <c r="Q167" s="107" t="str">
        <f aca="false">IF($C167="","",IF(Dashboard!$C$4="Gemiddeld per maand",$F167,IF(OR($D167="Per maand",$D167="Per week",$D167=""),$F167,IF($D167="Per jaar",IF(7=$W167,$C167,0),IF($D167="Per half jaar",IF(MOD(7-$W167,6)=0,$C167,0),IF($D167="Per kwartaal",IF(MOD(7-$W167,3)=0,$C167,0),$F167))))))</f>
        <v/>
      </c>
      <c r="R167" s="107" t="str">
        <f aca="false">IF($C167="","",IF(Dashboard!$C$4="Gemiddeld per maand",$F167,IF(OR($D167="Per maand",$D167="Per week",$D167=""),$F167,IF($D167="Per jaar",IF(8=$W167,$C167,0),IF($D167="Per half jaar",IF(MOD(8-$W167,6)=0,$C167,0),IF($D167="Per kwartaal",IF(MOD(8-$W167,3)=0,$C167,0),$F167))))))</f>
        <v/>
      </c>
      <c r="S167" s="107" t="str">
        <f aca="false">IF($C167="","",IF(Dashboard!$C$4="Gemiddeld per maand",$F167,IF(OR($D167="Per maand",$D167="Per week",$D167=""),$F167,IF($D167="Per jaar",IF(9=$W167,$C167,0),IF($D167="Per half jaar",IF(MOD(9-$W167,6)=0,$C167,0),IF($D167="Per kwartaal",IF(MOD(9-$W167,3)=0,$C167,0),$F167))))))</f>
        <v/>
      </c>
      <c r="T167" s="107" t="str">
        <f aca="false">IF($C167="","",IF(Dashboard!$C$4="Gemiddeld per maand",$F167,IF(OR($D167="Per maand",$D167="Per week",$D167=""),$F167,IF($D167="Per jaar",IF(10=$W167,$C167,0),IF($D167="Per half jaar",IF(MOD(10-$W167,6)=0,$C167,0),IF($D167="Per kwartaal",IF(MOD(10-$W167,3)=0,$C167,0),$F167))))))</f>
        <v/>
      </c>
      <c r="U167" s="107" t="str">
        <f aca="false">IF($C167="","",IF(Dashboard!$C$4="Gemiddeld per maand",$F167,IF(OR($D167="Per maand",$D167="Per week",$D167=""),$F167,IF($D167="Per jaar",IF(11=$W167,$C167,0),IF($D167="Per half jaar",IF(MOD(11-$W167,6)=0,$C167,0),IF($D167="Per kwartaal",IF(MOD(11-$W167,3)=0,$C167,0),$F167))))))</f>
        <v/>
      </c>
      <c r="V167" s="107" t="str">
        <f aca="false">IF($C167="","",IF(Dashboard!$C$4="Gemiddeld per maand",$F167,IF(OR($D167="Per maand",$D167="Per week",$D167=""),$F167,IF($D167="Per jaar",IF(12=$W167,$C167,0),IF($D167="Per half jaar",IF(MOD(12-$W167,6)=0,$C167,0),IF($D167="Per kwartaal",IF(MOD(12-$W167,3)=0,$C167,0),$F167))))))</f>
        <v/>
      </c>
      <c r="W167" s="15" t="n">
        <f aca="false">IF($E167="",1,IFERROR(MATCH($E167,Lijsten!$K$6:$K$17,0),1))</f>
        <v>1</v>
      </c>
    </row>
    <row r="168" customFormat="false" ht="15" hidden="false" customHeight="false" outlineLevel="0" collapsed="false">
      <c r="A168" s="102"/>
      <c r="B168" s="102"/>
      <c r="C168" s="92"/>
      <c r="D168" s="102"/>
      <c r="E168" s="103"/>
      <c r="F168" s="104" t="str">
        <f aca="false">IF($C168="","",IF($D168="Per jaar",$C168/12,IF($D168="Per kwartaal",$C168/3,IF($D168="Per half jaar",$C168/6,IF($D168="Per week",$C168*52/12,$C168)))))</f>
        <v/>
      </c>
      <c r="G168" s="102"/>
      <c r="H168" s="103"/>
      <c r="I168" s="105"/>
      <c r="J168" s="106" t="str">
        <f aca="false">IF($C168="","",IF(Dashboard!$C$4="Gemiddeld per maand",$F168,IF(OR($D168="Per maand",$D168="Per week",$D168=""),$F168,IF($D168="Per jaar",IF(Dashboard!$N$2=$W168,$C168,0),IF($D168="Per half jaar",IF(MOD(Dashboard!$N$2-$W168,6)=0,$C168,0),IF($D168="Per kwartaal",IF(MOD(Dashboard!$N$2-$W168,3)=0,$C168,0),$F168))))))</f>
        <v/>
      </c>
      <c r="K168" s="107" t="str">
        <f aca="false">IF($C168="","",IF(Dashboard!$C$4="Gemiddeld per maand",$F168,IF(OR($D168="Per maand",$D168="Per week",$D168=""),$F168,IF($D168="Per jaar",IF(1=$W168,$C168,0),IF($D168="Per half jaar",IF(MOD(1-$W168,6)=0,$C168,0),IF($D168="Per kwartaal",IF(MOD(1-$W168,3)=0,$C168,0),$F168))))))</f>
        <v/>
      </c>
      <c r="L168" s="107" t="str">
        <f aca="false">IF($C168="","",IF(Dashboard!$C$4="Gemiddeld per maand",$F168,IF(OR($D168="Per maand",$D168="Per week",$D168=""),$F168,IF($D168="Per jaar",IF(2=$W168,$C168,0),IF($D168="Per half jaar",IF(MOD(2-$W168,6)=0,$C168,0),IF($D168="Per kwartaal",IF(MOD(2-$W168,3)=0,$C168,0),$F168))))))</f>
        <v/>
      </c>
      <c r="M168" s="107" t="str">
        <f aca="false">IF($C168="","",IF(Dashboard!$C$4="Gemiddeld per maand",$F168,IF(OR($D168="Per maand",$D168="Per week",$D168=""),$F168,IF($D168="Per jaar",IF(3=$W168,$C168,0),IF($D168="Per half jaar",IF(MOD(3-$W168,6)=0,$C168,0),IF($D168="Per kwartaal",IF(MOD(3-$W168,3)=0,$C168,0),$F168))))))</f>
        <v/>
      </c>
      <c r="N168" s="107" t="str">
        <f aca="false">IF($C168="","",IF(Dashboard!$C$4="Gemiddeld per maand",$F168,IF(OR($D168="Per maand",$D168="Per week",$D168=""),$F168,IF($D168="Per jaar",IF(4=$W168,$C168,0),IF($D168="Per half jaar",IF(MOD(4-$W168,6)=0,$C168,0),IF($D168="Per kwartaal",IF(MOD(4-$W168,3)=0,$C168,0),$F168))))))</f>
        <v/>
      </c>
      <c r="O168" s="107" t="str">
        <f aca="false">IF($C168="","",IF(Dashboard!$C$4="Gemiddeld per maand",$F168,IF(OR($D168="Per maand",$D168="Per week",$D168=""),$F168,IF($D168="Per jaar",IF(5=$W168,$C168,0),IF($D168="Per half jaar",IF(MOD(5-$W168,6)=0,$C168,0),IF($D168="Per kwartaal",IF(MOD(5-$W168,3)=0,$C168,0),$F168))))))</f>
        <v/>
      </c>
      <c r="P168" s="107" t="str">
        <f aca="false">IF($C168="","",IF(Dashboard!$C$4="Gemiddeld per maand",$F168,IF(OR($D168="Per maand",$D168="Per week",$D168=""),$F168,IF($D168="Per jaar",IF(6=$W168,$C168,0),IF($D168="Per half jaar",IF(MOD(6-$W168,6)=0,$C168,0),IF($D168="Per kwartaal",IF(MOD(6-$W168,3)=0,$C168,0),$F168))))))</f>
        <v/>
      </c>
      <c r="Q168" s="107" t="str">
        <f aca="false">IF($C168="","",IF(Dashboard!$C$4="Gemiddeld per maand",$F168,IF(OR($D168="Per maand",$D168="Per week",$D168=""),$F168,IF($D168="Per jaar",IF(7=$W168,$C168,0),IF($D168="Per half jaar",IF(MOD(7-$W168,6)=0,$C168,0),IF($D168="Per kwartaal",IF(MOD(7-$W168,3)=0,$C168,0),$F168))))))</f>
        <v/>
      </c>
      <c r="R168" s="107" t="str">
        <f aca="false">IF($C168="","",IF(Dashboard!$C$4="Gemiddeld per maand",$F168,IF(OR($D168="Per maand",$D168="Per week",$D168=""),$F168,IF($D168="Per jaar",IF(8=$W168,$C168,0),IF($D168="Per half jaar",IF(MOD(8-$W168,6)=0,$C168,0),IF($D168="Per kwartaal",IF(MOD(8-$W168,3)=0,$C168,0),$F168))))))</f>
        <v/>
      </c>
      <c r="S168" s="107" t="str">
        <f aca="false">IF($C168="","",IF(Dashboard!$C$4="Gemiddeld per maand",$F168,IF(OR($D168="Per maand",$D168="Per week",$D168=""),$F168,IF($D168="Per jaar",IF(9=$W168,$C168,0),IF($D168="Per half jaar",IF(MOD(9-$W168,6)=0,$C168,0),IF($D168="Per kwartaal",IF(MOD(9-$W168,3)=0,$C168,0),$F168))))))</f>
        <v/>
      </c>
      <c r="T168" s="107" t="str">
        <f aca="false">IF($C168="","",IF(Dashboard!$C$4="Gemiddeld per maand",$F168,IF(OR($D168="Per maand",$D168="Per week",$D168=""),$F168,IF($D168="Per jaar",IF(10=$W168,$C168,0),IF($D168="Per half jaar",IF(MOD(10-$W168,6)=0,$C168,0),IF($D168="Per kwartaal",IF(MOD(10-$W168,3)=0,$C168,0),$F168))))))</f>
        <v/>
      </c>
      <c r="U168" s="107" t="str">
        <f aca="false">IF($C168="","",IF(Dashboard!$C$4="Gemiddeld per maand",$F168,IF(OR($D168="Per maand",$D168="Per week",$D168=""),$F168,IF($D168="Per jaar",IF(11=$W168,$C168,0),IF($D168="Per half jaar",IF(MOD(11-$W168,6)=0,$C168,0),IF($D168="Per kwartaal",IF(MOD(11-$W168,3)=0,$C168,0),$F168))))))</f>
        <v/>
      </c>
      <c r="V168" s="107" t="str">
        <f aca="false">IF($C168="","",IF(Dashboard!$C$4="Gemiddeld per maand",$F168,IF(OR($D168="Per maand",$D168="Per week",$D168=""),$F168,IF($D168="Per jaar",IF(12=$W168,$C168,0),IF($D168="Per half jaar",IF(MOD(12-$W168,6)=0,$C168,0),IF($D168="Per kwartaal",IF(MOD(12-$W168,3)=0,$C168,0),$F168))))))</f>
        <v/>
      </c>
      <c r="W168" s="15" t="n">
        <f aca="false">IF($E168="",1,IFERROR(MATCH($E168,Lijsten!$K$6:$K$17,0),1))</f>
        <v>1</v>
      </c>
    </row>
    <row r="169" customFormat="false" ht="15" hidden="false" customHeight="false" outlineLevel="0" collapsed="false">
      <c r="A169" s="102"/>
      <c r="B169" s="102"/>
      <c r="C169" s="92"/>
      <c r="D169" s="102"/>
      <c r="E169" s="103"/>
      <c r="F169" s="104" t="str">
        <f aca="false">IF($C169="","",IF($D169="Per jaar",$C169/12,IF($D169="Per kwartaal",$C169/3,IF($D169="Per half jaar",$C169/6,IF($D169="Per week",$C169*52/12,$C169)))))</f>
        <v/>
      </c>
      <c r="G169" s="102"/>
      <c r="H169" s="103"/>
      <c r="I169" s="105"/>
      <c r="J169" s="106" t="str">
        <f aca="false">IF($C169="","",IF(Dashboard!$C$4="Gemiddeld per maand",$F169,IF(OR($D169="Per maand",$D169="Per week",$D169=""),$F169,IF($D169="Per jaar",IF(Dashboard!$N$2=$W169,$C169,0),IF($D169="Per half jaar",IF(MOD(Dashboard!$N$2-$W169,6)=0,$C169,0),IF($D169="Per kwartaal",IF(MOD(Dashboard!$N$2-$W169,3)=0,$C169,0),$F169))))))</f>
        <v/>
      </c>
      <c r="K169" s="107" t="str">
        <f aca="false">IF($C169="","",IF(Dashboard!$C$4="Gemiddeld per maand",$F169,IF(OR($D169="Per maand",$D169="Per week",$D169=""),$F169,IF($D169="Per jaar",IF(1=$W169,$C169,0),IF($D169="Per half jaar",IF(MOD(1-$W169,6)=0,$C169,0),IF($D169="Per kwartaal",IF(MOD(1-$W169,3)=0,$C169,0),$F169))))))</f>
        <v/>
      </c>
      <c r="L169" s="107" t="str">
        <f aca="false">IF($C169="","",IF(Dashboard!$C$4="Gemiddeld per maand",$F169,IF(OR($D169="Per maand",$D169="Per week",$D169=""),$F169,IF($D169="Per jaar",IF(2=$W169,$C169,0),IF($D169="Per half jaar",IF(MOD(2-$W169,6)=0,$C169,0),IF($D169="Per kwartaal",IF(MOD(2-$W169,3)=0,$C169,0),$F169))))))</f>
        <v/>
      </c>
      <c r="M169" s="107" t="str">
        <f aca="false">IF($C169="","",IF(Dashboard!$C$4="Gemiddeld per maand",$F169,IF(OR($D169="Per maand",$D169="Per week",$D169=""),$F169,IF($D169="Per jaar",IF(3=$W169,$C169,0),IF($D169="Per half jaar",IF(MOD(3-$W169,6)=0,$C169,0),IF($D169="Per kwartaal",IF(MOD(3-$W169,3)=0,$C169,0),$F169))))))</f>
        <v/>
      </c>
      <c r="N169" s="107" t="str">
        <f aca="false">IF($C169="","",IF(Dashboard!$C$4="Gemiddeld per maand",$F169,IF(OR($D169="Per maand",$D169="Per week",$D169=""),$F169,IF($D169="Per jaar",IF(4=$W169,$C169,0),IF($D169="Per half jaar",IF(MOD(4-$W169,6)=0,$C169,0),IF($D169="Per kwartaal",IF(MOD(4-$W169,3)=0,$C169,0),$F169))))))</f>
        <v/>
      </c>
      <c r="O169" s="107" t="str">
        <f aca="false">IF($C169="","",IF(Dashboard!$C$4="Gemiddeld per maand",$F169,IF(OR($D169="Per maand",$D169="Per week",$D169=""),$F169,IF($D169="Per jaar",IF(5=$W169,$C169,0),IF($D169="Per half jaar",IF(MOD(5-$W169,6)=0,$C169,0),IF($D169="Per kwartaal",IF(MOD(5-$W169,3)=0,$C169,0),$F169))))))</f>
        <v/>
      </c>
      <c r="P169" s="107" t="str">
        <f aca="false">IF($C169="","",IF(Dashboard!$C$4="Gemiddeld per maand",$F169,IF(OR($D169="Per maand",$D169="Per week",$D169=""),$F169,IF($D169="Per jaar",IF(6=$W169,$C169,0),IF($D169="Per half jaar",IF(MOD(6-$W169,6)=0,$C169,0),IF($D169="Per kwartaal",IF(MOD(6-$W169,3)=0,$C169,0),$F169))))))</f>
        <v/>
      </c>
      <c r="Q169" s="107" t="str">
        <f aca="false">IF($C169="","",IF(Dashboard!$C$4="Gemiddeld per maand",$F169,IF(OR($D169="Per maand",$D169="Per week",$D169=""),$F169,IF($D169="Per jaar",IF(7=$W169,$C169,0),IF($D169="Per half jaar",IF(MOD(7-$W169,6)=0,$C169,0),IF($D169="Per kwartaal",IF(MOD(7-$W169,3)=0,$C169,0),$F169))))))</f>
        <v/>
      </c>
      <c r="R169" s="107" t="str">
        <f aca="false">IF($C169="","",IF(Dashboard!$C$4="Gemiddeld per maand",$F169,IF(OR($D169="Per maand",$D169="Per week",$D169=""),$F169,IF($D169="Per jaar",IF(8=$W169,$C169,0),IF($D169="Per half jaar",IF(MOD(8-$W169,6)=0,$C169,0),IF($D169="Per kwartaal",IF(MOD(8-$W169,3)=0,$C169,0),$F169))))))</f>
        <v/>
      </c>
      <c r="S169" s="107" t="str">
        <f aca="false">IF($C169="","",IF(Dashboard!$C$4="Gemiddeld per maand",$F169,IF(OR($D169="Per maand",$D169="Per week",$D169=""),$F169,IF($D169="Per jaar",IF(9=$W169,$C169,0),IF($D169="Per half jaar",IF(MOD(9-$W169,6)=0,$C169,0),IF($D169="Per kwartaal",IF(MOD(9-$W169,3)=0,$C169,0),$F169))))))</f>
        <v/>
      </c>
      <c r="T169" s="107" t="str">
        <f aca="false">IF($C169="","",IF(Dashboard!$C$4="Gemiddeld per maand",$F169,IF(OR($D169="Per maand",$D169="Per week",$D169=""),$F169,IF($D169="Per jaar",IF(10=$W169,$C169,0),IF($D169="Per half jaar",IF(MOD(10-$W169,6)=0,$C169,0),IF($D169="Per kwartaal",IF(MOD(10-$W169,3)=0,$C169,0),$F169))))))</f>
        <v/>
      </c>
      <c r="U169" s="107" t="str">
        <f aca="false">IF($C169="","",IF(Dashboard!$C$4="Gemiddeld per maand",$F169,IF(OR($D169="Per maand",$D169="Per week",$D169=""),$F169,IF($D169="Per jaar",IF(11=$W169,$C169,0),IF($D169="Per half jaar",IF(MOD(11-$W169,6)=0,$C169,0),IF($D169="Per kwartaal",IF(MOD(11-$W169,3)=0,$C169,0),$F169))))))</f>
        <v/>
      </c>
      <c r="V169" s="107" t="str">
        <f aca="false">IF($C169="","",IF(Dashboard!$C$4="Gemiddeld per maand",$F169,IF(OR($D169="Per maand",$D169="Per week",$D169=""),$F169,IF($D169="Per jaar",IF(12=$W169,$C169,0),IF($D169="Per half jaar",IF(MOD(12-$W169,6)=0,$C169,0),IF($D169="Per kwartaal",IF(MOD(12-$W169,3)=0,$C169,0),$F169))))))</f>
        <v/>
      </c>
      <c r="W169" s="15" t="n">
        <f aca="false">IF($E169="",1,IFERROR(MATCH($E169,Lijsten!$K$6:$K$17,0),1))</f>
        <v>1</v>
      </c>
    </row>
    <row r="170" customFormat="false" ht="15" hidden="false" customHeight="false" outlineLevel="0" collapsed="false">
      <c r="A170" s="102"/>
      <c r="B170" s="102"/>
      <c r="C170" s="92"/>
      <c r="D170" s="102"/>
      <c r="E170" s="103"/>
      <c r="F170" s="104" t="str">
        <f aca="false">IF($C170="","",IF($D170="Per jaar",$C170/12,IF($D170="Per kwartaal",$C170/3,IF($D170="Per half jaar",$C170/6,IF($D170="Per week",$C170*52/12,$C170)))))</f>
        <v/>
      </c>
      <c r="G170" s="102"/>
      <c r="H170" s="103"/>
      <c r="I170" s="105"/>
      <c r="J170" s="106" t="str">
        <f aca="false">IF($C170="","",IF(Dashboard!$C$4="Gemiddeld per maand",$F170,IF(OR($D170="Per maand",$D170="Per week",$D170=""),$F170,IF($D170="Per jaar",IF(Dashboard!$N$2=$W170,$C170,0),IF($D170="Per half jaar",IF(MOD(Dashboard!$N$2-$W170,6)=0,$C170,0),IF($D170="Per kwartaal",IF(MOD(Dashboard!$N$2-$W170,3)=0,$C170,0),$F170))))))</f>
        <v/>
      </c>
      <c r="K170" s="107" t="str">
        <f aca="false">IF($C170="","",IF(Dashboard!$C$4="Gemiddeld per maand",$F170,IF(OR($D170="Per maand",$D170="Per week",$D170=""),$F170,IF($D170="Per jaar",IF(1=$W170,$C170,0),IF($D170="Per half jaar",IF(MOD(1-$W170,6)=0,$C170,0),IF($D170="Per kwartaal",IF(MOD(1-$W170,3)=0,$C170,0),$F170))))))</f>
        <v/>
      </c>
      <c r="L170" s="107" t="str">
        <f aca="false">IF($C170="","",IF(Dashboard!$C$4="Gemiddeld per maand",$F170,IF(OR($D170="Per maand",$D170="Per week",$D170=""),$F170,IF($D170="Per jaar",IF(2=$W170,$C170,0),IF($D170="Per half jaar",IF(MOD(2-$W170,6)=0,$C170,0),IF($D170="Per kwartaal",IF(MOD(2-$W170,3)=0,$C170,0),$F170))))))</f>
        <v/>
      </c>
      <c r="M170" s="107" t="str">
        <f aca="false">IF($C170="","",IF(Dashboard!$C$4="Gemiddeld per maand",$F170,IF(OR($D170="Per maand",$D170="Per week",$D170=""),$F170,IF($D170="Per jaar",IF(3=$W170,$C170,0),IF($D170="Per half jaar",IF(MOD(3-$W170,6)=0,$C170,0),IF($D170="Per kwartaal",IF(MOD(3-$W170,3)=0,$C170,0),$F170))))))</f>
        <v/>
      </c>
      <c r="N170" s="107" t="str">
        <f aca="false">IF($C170="","",IF(Dashboard!$C$4="Gemiddeld per maand",$F170,IF(OR($D170="Per maand",$D170="Per week",$D170=""),$F170,IF($D170="Per jaar",IF(4=$W170,$C170,0),IF($D170="Per half jaar",IF(MOD(4-$W170,6)=0,$C170,0),IF($D170="Per kwartaal",IF(MOD(4-$W170,3)=0,$C170,0),$F170))))))</f>
        <v/>
      </c>
      <c r="O170" s="107" t="str">
        <f aca="false">IF($C170="","",IF(Dashboard!$C$4="Gemiddeld per maand",$F170,IF(OR($D170="Per maand",$D170="Per week",$D170=""),$F170,IF($D170="Per jaar",IF(5=$W170,$C170,0),IF($D170="Per half jaar",IF(MOD(5-$W170,6)=0,$C170,0),IF($D170="Per kwartaal",IF(MOD(5-$W170,3)=0,$C170,0),$F170))))))</f>
        <v/>
      </c>
      <c r="P170" s="107" t="str">
        <f aca="false">IF($C170="","",IF(Dashboard!$C$4="Gemiddeld per maand",$F170,IF(OR($D170="Per maand",$D170="Per week",$D170=""),$F170,IF($D170="Per jaar",IF(6=$W170,$C170,0),IF($D170="Per half jaar",IF(MOD(6-$W170,6)=0,$C170,0),IF($D170="Per kwartaal",IF(MOD(6-$W170,3)=0,$C170,0),$F170))))))</f>
        <v/>
      </c>
      <c r="Q170" s="107" t="str">
        <f aca="false">IF($C170="","",IF(Dashboard!$C$4="Gemiddeld per maand",$F170,IF(OR($D170="Per maand",$D170="Per week",$D170=""),$F170,IF($D170="Per jaar",IF(7=$W170,$C170,0),IF($D170="Per half jaar",IF(MOD(7-$W170,6)=0,$C170,0),IF($D170="Per kwartaal",IF(MOD(7-$W170,3)=0,$C170,0),$F170))))))</f>
        <v/>
      </c>
      <c r="R170" s="107" t="str">
        <f aca="false">IF($C170="","",IF(Dashboard!$C$4="Gemiddeld per maand",$F170,IF(OR($D170="Per maand",$D170="Per week",$D170=""),$F170,IF($D170="Per jaar",IF(8=$W170,$C170,0),IF($D170="Per half jaar",IF(MOD(8-$W170,6)=0,$C170,0),IF($D170="Per kwartaal",IF(MOD(8-$W170,3)=0,$C170,0),$F170))))))</f>
        <v/>
      </c>
      <c r="S170" s="107" t="str">
        <f aca="false">IF($C170="","",IF(Dashboard!$C$4="Gemiddeld per maand",$F170,IF(OR($D170="Per maand",$D170="Per week",$D170=""),$F170,IF($D170="Per jaar",IF(9=$W170,$C170,0),IF($D170="Per half jaar",IF(MOD(9-$W170,6)=0,$C170,0),IF($D170="Per kwartaal",IF(MOD(9-$W170,3)=0,$C170,0),$F170))))))</f>
        <v/>
      </c>
      <c r="T170" s="107" t="str">
        <f aca="false">IF($C170="","",IF(Dashboard!$C$4="Gemiddeld per maand",$F170,IF(OR($D170="Per maand",$D170="Per week",$D170=""),$F170,IF($D170="Per jaar",IF(10=$W170,$C170,0),IF($D170="Per half jaar",IF(MOD(10-$W170,6)=0,$C170,0),IF($D170="Per kwartaal",IF(MOD(10-$W170,3)=0,$C170,0),$F170))))))</f>
        <v/>
      </c>
      <c r="U170" s="107" t="str">
        <f aca="false">IF($C170="","",IF(Dashboard!$C$4="Gemiddeld per maand",$F170,IF(OR($D170="Per maand",$D170="Per week",$D170=""),$F170,IF($D170="Per jaar",IF(11=$W170,$C170,0),IF($D170="Per half jaar",IF(MOD(11-$W170,6)=0,$C170,0),IF($D170="Per kwartaal",IF(MOD(11-$W170,3)=0,$C170,0),$F170))))))</f>
        <v/>
      </c>
      <c r="V170" s="107" t="str">
        <f aca="false">IF($C170="","",IF(Dashboard!$C$4="Gemiddeld per maand",$F170,IF(OR($D170="Per maand",$D170="Per week",$D170=""),$F170,IF($D170="Per jaar",IF(12=$W170,$C170,0),IF($D170="Per half jaar",IF(MOD(12-$W170,6)=0,$C170,0),IF($D170="Per kwartaal",IF(MOD(12-$W170,3)=0,$C170,0),$F170))))))</f>
        <v/>
      </c>
      <c r="W170" s="15" t="n">
        <f aca="false">IF($E170="",1,IFERROR(MATCH($E170,Lijsten!$K$6:$K$17,0),1))</f>
        <v>1</v>
      </c>
    </row>
    <row r="171" customFormat="false" ht="15" hidden="false" customHeight="false" outlineLevel="0" collapsed="false">
      <c r="A171" s="102"/>
      <c r="B171" s="102"/>
      <c r="C171" s="92"/>
      <c r="D171" s="102"/>
      <c r="E171" s="103"/>
      <c r="F171" s="104" t="str">
        <f aca="false">IF($C171="","",IF($D171="Per jaar",$C171/12,IF($D171="Per kwartaal",$C171/3,IF($D171="Per half jaar",$C171/6,IF($D171="Per week",$C171*52/12,$C171)))))</f>
        <v/>
      </c>
      <c r="G171" s="102"/>
      <c r="H171" s="103"/>
      <c r="I171" s="105"/>
      <c r="J171" s="106" t="str">
        <f aca="false">IF($C171="","",IF(Dashboard!$C$4="Gemiddeld per maand",$F171,IF(OR($D171="Per maand",$D171="Per week",$D171=""),$F171,IF($D171="Per jaar",IF(Dashboard!$N$2=$W171,$C171,0),IF($D171="Per half jaar",IF(MOD(Dashboard!$N$2-$W171,6)=0,$C171,0),IF($D171="Per kwartaal",IF(MOD(Dashboard!$N$2-$W171,3)=0,$C171,0),$F171))))))</f>
        <v/>
      </c>
      <c r="K171" s="107" t="str">
        <f aca="false">IF($C171="","",IF(Dashboard!$C$4="Gemiddeld per maand",$F171,IF(OR($D171="Per maand",$D171="Per week",$D171=""),$F171,IF($D171="Per jaar",IF(1=$W171,$C171,0),IF($D171="Per half jaar",IF(MOD(1-$W171,6)=0,$C171,0),IF($D171="Per kwartaal",IF(MOD(1-$W171,3)=0,$C171,0),$F171))))))</f>
        <v/>
      </c>
      <c r="L171" s="107" t="str">
        <f aca="false">IF($C171="","",IF(Dashboard!$C$4="Gemiddeld per maand",$F171,IF(OR($D171="Per maand",$D171="Per week",$D171=""),$F171,IF($D171="Per jaar",IF(2=$W171,$C171,0),IF($D171="Per half jaar",IF(MOD(2-$W171,6)=0,$C171,0),IF($D171="Per kwartaal",IF(MOD(2-$W171,3)=0,$C171,0),$F171))))))</f>
        <v/>
      </c>
      <c r="M171" s="107" t="str">
        <f aca="false">IF($C171="","",IF(Dashboard!$C$4="Gemiddeld per maand",$F171,IF(OR($D171="Per maand",$D171="Per week",$D171=""),$F171,IF($D171="Per jaar",IF(3=$W171,$C171,0),IF($D171="Per half jaar",IF(MOD(3-$W171,6)=0,$C171,0),IF($D171="Per kwartaal",IF(MOD(3-$W171,3)=0,$C171,0),$F171))))))</f>
        <v/>
      </c>
      <c r="N171" s="107" t="str">
        <f aca="false">IF($C171="","",IF(Dashboard!$C$4="Gemiddeld per maand",$F171,IF(OR($D171="Per maand",$D171="Per week",$D171=""),$F171,IF($D171="Per jaar",IF(4=$W171,$C171,0),IF($D171="Per half jaar",IF(MOD(4-$W171,6)=0,$C171,0),IF($D171="Per kwartaal",IF(MOD(4-$W171,3)=0,$C171,0),$F171))))))</f>
        <v/>
      </c>
      <c r="O171" s="107" t="str">
        <f aca="false">IF($C171="","",IF(Dashboard!$C$4="Gemiddeld per maand",$F171,IF(OR($D171="Per maand",$D171="Per week",$D171=""),$F171,IF($D171="Per jaar",IF(5=$W171,$C171,0),IF($D171="Per half jaar",IF(MOD(5-$W171,6)=0,$C171,0),IF($D171="Per kwartaal",IF(MOD(5-$W171,3)=0,$C171,0),$F171))))))</f>
        <v/>
      </c>
      <c r="P171" s="107" t="str">
        <f aca="false">IF($C171="","",IF(Dashboard!$C$4="Gemiddeld per maand",$F171,IF(OR($D171="Per maand",$D171="Per week",$D171=""),$F171,IF($D171="Per jaar",IF(6=$W171,$C171,0),IF($D171="Per half jaar",IF(MOD(6-$W171,6)=0,$C171,0),IF($D171="Per kwartaal",IF(MOD(6-$W171,3)=0,$C171,0),$F171))))))</f>
        <v/>
      </c>
      <c r="Q171" s="107" t="str">
        <f aca="false">IF($C171="","",IF(Dashboard!$C$4="Gemiddeld per maand",$F171,IF(OR($D171="Per maand",$D171="Per week",$D171=""),$F171,IF($D171="Per jaar",IF(7=$W171,$C171,0),IF($D171="Per half jaar",IF(MOD(7-$W171,6)=0,$C171,0),IF($D171="Per kwartaal",IF(MOD(7-$W171,3)=0,$C171,0),$F171))))))</f>
        <v/>
      </c>
      <c r="R171" s="107" t="str">
        <f aca="false">IF($C171="","",IF(Dashboard!$C$4="Gemiddeld per maand",$F171,IF(OR($D171="Per maand",$D171="Per week",$D171=""),$F171,IF($D171="Per jaar",IF(8=$W171,$C171,0),IF($D171="Per half jaar",IF(MOD(8-$W171,6)=0,$C171,0),IF($D171="Per kwartaal",IF(MOD(8-$W171,3)=0,$C171,0),$F171))))))</f>
        <v/>
      </c>
      <c r="S171" s="107" t="str">
        <f aca="false">IF($C171="","",IF(Dashboard!$C$4="Gemiddeld per maand",$F171,IF(OR($D171="Per maand",$D171="Per week",$D171=""),$F171,IF($D171="Per jaar",IF(9=$W171,$C171,0),IF($D171="Per half jaar",IF(MOD(9-$W171,6)=0,$C171,0),IF($D171="Per kwartaal",IF(MOD(9-$W171,3)=0,$C171,0),$F171))))))</f>
        <v/>
      </c>
      <c r="T171" s="107" t="str">
        <f aca="false">IF($C171="","",IF(Dashboard!$C$4="Gemiddeld per maand",$F171,IF(OR($D171="Per maand",$D171="Per week",$D171=""),$F171,IF($D171="Per jaar",IF(10=$W171,$C171,0),IF($D171="Per half jaar",IF(MOD(10-$W171,6)=0,$C171,0),IF($D171="Per kwartaal",IF(MOD(10-$W171,3)=0,$C171,0),$F171))))))</f>
        <v/>
      </c>
      <c r="U171" s="107" t="str">
        <f aca="false">IF($C171="","",IF(Dashboard!$C$4="Gemiddeld per maand",$F171,IF(OR($D171="Per maand",$D171="Per week",$D171=""),$F171,IF($D171="Per jaar",IF(11=$W171,$C171,0),IF($D171="Per half jaar",IF(MOD(11-$W171,6)=0,$C171,0),IF($D171="Per kwartaal",IF(MOD(11-$W171,3)=0,$C171,0),$F171))))))</f>
        <v/>
      </c>
      <c r="V171" s="107" t="str">
        <f aca="false">IF($C171="","",IF(Dashboard!$C$4="Gemiddeld per maand",$F171,IF(OR($D171="Per maand",$D171="Per week",$D171=""),$F171,IF($D171="Per jaar",IF(12=$W171,$C171,0),IF($D171="Per half jaar",IF(MOD(12-$W171,6)=0,$C171,0),IF($D171="Per kwartaal",IF(MOD(12-$W171,3)=0,$C171,0),$F171))))))</f>
        <v/>
      </c>
      <c r="W171" s="15" t="n">
        <f aca="false">IF($E171="",1,IFERROR(MATCH($E171,Lijsten!$K$6:$K$17,0),1))</f>
        <v>1</v>
      </c>
    </row>
    <row r="172" customFormat="false" ht="15" hidden="false" customHeight="false" outlineLevel="0" collapsed="false">
      <c r="A172" s="102"/>
      <c r="B172" s="102"/>
      <c r="C172" s="92"/>
      <c r="D172" s="102"/>
      <c r="E172" s="103"/>
      <c r="F172" s="104" t="str">
        <f aca="false">IF($C172="","",IF($D172="Per jaar",$C172/12,IF($D172="Per kwartaal",$C172/3,IF($D172="Per half jaar",$C172/6,IF($D172="Per week",$C172*52/12,$C172)))))</f>
        <v/>
      </c>
      <c r="G172" s="102"/>
      <c r="H172" s="103"/>
      <c r="I172" s="105"/>
      <c r="J172" s="106" t="str">
        <f aca="false">IF($C172="","",IF(Dashboard!$C$4="Gemiddeld per maand",$F172,IF(OR($D172="Per maand",$D172="Per week",$D172=""),$F172,IF($D172="Per jaar",IF(Dashboard!$N$2=$W172,$C172,0),IF($D172="Per half jaar",IF(MOD(Dashboard!$N$2-$W172,6)=0,$C172,0),IF($D172="Per kwartaal",IF(MOD(Dashboard!$N$2-$W172,3)=0,$C172,0),$F172))))))</f>
        <v/>
      </c>
      <c r="K172" s="107" t="str">
        <f aca="false">IF($C172="","",IF(Dashboard!$C$4="Gemiddeld per maand",$F172,IF(OR($D172="Per maand",$D172="Per week",$D172=""),$F172,IF($D172="Per jaar",IF(1=$W172,$C172,0),IF($D172="Per half jaar",IF(MOD(1-$W172,6)=0,$C172,0),IF($D172="Per kwartaal",IF(MOD(1-$W172,3)=0,$C172,0),$F172))))))</f>
        <v/>
      </c>
      <c r="L172" s="107" t="str">
        <f aca="false">IF($C172="","",IF(Dashboard!$C$4="Gemiddeld per maand",$F172,IF(OR($D172="Per maand",$D172="Per week",$D172=""),$F172,IF($D172="Per jaar",IF(2=$W172,$C172,0),IF($D172="Per half jaar",IF(MOD(2-$W172,6)=0,$C172,0),IF($D172="Per kwartaal",IF(MOD(2-$W172,3)=0,$C172,0),$F172))))))</f>
        <v/>
      </c>
      <c r="M172" s="107" t="str">
        <f aca="false">IF($C172="","",IF(Dashboard!$C$4="Gemiddeld per maand",$F172,IF(OR($D172="Per maand",$D172="Per week",$D172=""),$F172,IF($D172="Per jaar",IF(3=$W172,$C172,0),IF($D172="Per half jaar",IF(MOD(3-$W172,6)=0,$C172,0),IF($D172="Per kwartaal",IF(MOD(3-$W172,3)=0,$C172,0),$F172))))))</f>
        <v/>
      </c>
      <c r="N172" s="107" t="str">
        <f aca="false">IF($C172="","",IF(Dashboard!$C$4="Gemiddeld per maand",$F172,IF(OR($D172="Per maand",$D172="Per week",$D172=""),$F172,IF($D172="Per jaar",IF(4=$W172,$C172,0),IF($D172="Per half jaar",IF(MOD(4-$W172,6)=0,$C172,0),IF($D172="Per kwartaal",IF(MOD(4-$W172,3)=0,$C172,0),$F172))))))</f>
        <v/>
      </c>
      <c r="O172" s="107" t="str">
        <f aca="false">IF($C172="","",IF(Dashboard!$C$4="Gemiddeld per maand",$F172,IF(OR($D172="Per maand",$D172="Per week",$D172=""),$F172,IF($D172="Per jaar",IF(5=$W172,$C172,0),IF($D172="Per half jaar",IF(MOD(5-$W172,6)=0,$C172,0),IF($D172="Per kwartaal",IF(MOD(5-$W172,3)=0,$C172,0),$F172))))))</f>
        <v/>
      </c>
      <c r="P172" s="107" t="str">
        <f aca="false">IF($C172="","",IF(Dashboard!$C$4="Gemiddeld per maand",$F172,IF(OR($D172="Per maand",$D172="Per week",$D172=""),$F172,IF($D172="Per jaar",IF(6=$W172,$C172,0),IF($D172="Per half jaar",IF(MOD(6-$W172,6)=0,$C172,0),IF($D172="Per kwartaal",IF(MOD(6-$W172,3)=0,$C172,0),$F172))))))</f>
        <v/>
      </c>
      <c r="Q172" s="107" t="str">
        <f aca="false">IF($C172="","",IF(Dashboard!$C$4="Gemiddeld per maand",$F172,IF(OR($D172="Per maand",$D172="Per week",$D172=""),$F172,IF($D172="Per jaar",IF(7=$W172,$C172,0),IF($D172="Per half jaar",IF(MOD(7-$W172,6)=0,$C172,0),IF($D172="Per kwartaal",IF(MOD(7-$W172,3)=0,$C172,0),$F172))))))</f>
        <v/>
      </c>
      <c r="R172" s="107" t="str">
        <f aca="false">IF($C172="","",IF(Dashboard!$C$4="Gemiddeld per maand",$F172,IF(OR($D172="Per maand",$D172="Per week",$D172=""),$F172,IF($D172="Per jaar",IF(8=$W172,$C172,0),IF($D172="Per half jaar",IF(MOD(8-$W172,6)=0,$C172,0),IF($D172="Per kwartaal",IF(MOD(8-$W172,3)=0,$C172,0),$F172))))))</f>
        <v/>
      </c>
      <c r="S172" s="107" t="str">
        <f aca="false">IF($C172="","",IF(Dashboard!$C$4="Gemiddeld per maand",$F172,IF(OR($D172="Per maand",$D172="Per week",$D172=""),$F172,IF($D172="Per jaar",IF(9=$W172,$C172,0),IF($D172="Per half jaar",IF(MOD(9-$W172,6)=0,$C172,0),IF($D172="Per kwartaal",IF(MOD(9-$W172,3)=0,$C172,0),$F172))))))</f>
        <v/>
      </c>
      <c r="T172" s="107" t="str">
        <f aca="false">IF($C172="","",IF(Dashboard!$C$4="Gemiddeld per maand",$F172,IF(OR($D172="Per maand",$D172="Per week",$D172=""),$F172,IF($D172="Per jaar",IF(10=$W172,$C172,0),IF($D172="Per half jaar",IF(MOD(10-$W172,6)=0,$C172,0),IF($D172="Per kwartaal",IF(MOD(10-$W172,3)=0,$C172,0),$F172))))))</f>
        <v/>
      </c>
      <c r="U172" s="107" t="str">
        <f aca="false">IF($C172="","",IF(Dashboard!$C$4="Gemiddeld per maand",$F172,IF(OR($D172="Per maand",$D172="Per week",$D172=""),$F172,IF($D172="Per jaar",IF(11=$W172,$C172,0),IF($D172="Per half jaar",IF(MOD(11-$W172,6)=0,$C172,0),IF($D172="Per kwartaal",IF(MOD(11-$W172,3)=0,$C172,0),$F172))))))</f>
        <v/>
      </c>
      <c r="V172" s="107" t="str">
        <f aca="false">IF($C172="","",IF(Dashboard!$C$4="Gemiddeld per maand",$F172,IF(OR($D172="Per maand",$D172="Per week",$D172=""),$F172,IF($D172="Per jaar",IF(12=$W172,$C172,0),IF($D172="Per half jaar",IF(MOD(12-$W172,6)=0,$C172,0),IF($D172="Per kwartaal",IF(MOD(12-$W172,3)=0,$C172,0),$F172))))))</f>
        <v/>
      </c>
      <c r="W172" s="15" t="n">
        <f aca="false">IF($E172="",1,IFERROR(MATCH($E172,Lijsten!$K$6:$K$17,0),1))</f>
        <v>1</v>
      </c>
    </row>
    <row r="173" customFormat="false" ht="15" hidden="false" customHeight="false" outlineLevel="0" collapsed="false">
      <c r="A173" s="102"/>
      <c r="B173" s="102"/>
      <c r="C173" s="92"/>
      <c r="D173" s="102"/>
      <c r="E173" s="103"/>
      <c r="F173" s="104" t="str">
        <f aca="false">IF($C173="","",IF($D173="Per jaar",$C173/12,IF($D173="Per kwartaal",$C173/3,IF($D173="Per half jaar",$C173/6,IF($D173="Per week",$C173*52/12,$C173)))))</f>
        <v/>
      </c>
      <c r="G173" s="102"/>
      <c r="H173" s="103"/>
      <c r="I173" s="105"/>
      <c r="J173" s="106" t="str">
        <f aca="false">IF($C173="","",IF(Dashboard!$C$4="Gemiddeld per maand",$F173,IF(OR($D173="Per maand",$D173="Per week",$D173=""),$F173,IF($D173="Per jaar",IF(Dashboard!$N$2=$W173,$C173,0),IF($D173="Per half jaar",IF(MOD(Dashboard!$N$2-$W173,6)=0,$C173,0),IF($D173="Per kwartaal",IF(MOD(Dashboard!$N$2-$W173,3)=0,$C173,0),$F173))))))</f>
        <v/>
      </c>
      <c r="K173" s="107" t="str">
        <f aca="false">IF($C173="","",IF(Dashboard!$C$4="Gemiddeld per maand",$F173,IF(OR($D173="Per maand",$D173="Per week",$D173=""),$F173,IF($D173="Per jaar",IF(1=$W173,$C173,0),IF($D173="Per half jaar",IF(MOD(1-$W173,6)=0,$C173,0),IF($D173="Per kwartaal",IF(MOD(1-$W173,3)=0,$C173,0),$F173))))))</f>
        <v/>
      </c>
      <c r="L173" s="107" t="str">
        <f aca="false">IF($C173="","",IF(Dashboard!$C$4="Gemiddeld per maand",$F173,IF(OR($D173="Per maand",$D173="Per week",$D173=""),$F173,IF($D173="Per jaar",IF(2=$W173,$C173,0),IF($D173="Per half jaar",IF(MOD(2-$W173,6)=0,$C173,0),IF($D173="Per kwartaal",IF(MOD(2-$W173,3)=0,$C173,0),$F173))))))</f>
        <v/>
      </c>
      <c r="M173" s="107" t="str">
        <f aca="false">IF($C173="","",IF(Dashboard!$C$4="Gemiddeld per maand",$F173,IF(OR($D173="Per maand",$D173="Per week",$D173=""),$F173,IF($D173="Per jaar",IF(3=$W173,$C173,0),IF($D173="Per half jaar",IF(MOD(3-$W173,6)=0,$C173,0),IF($D173="Per kwartaal",IF(MOD(3-$W173,3)=0,$C173,0),$F173))))))</f>
        <v/>
      </c>
      <c r="N173" s="107" t="str">
        <f aca="false">IF($C173="","",IF(Dashboard!$C$4="Gemiddeld per maand",$F173,IF(OR($D173="Per maand",$D173="Per week",$D173=""),$F173,IF($D173="Per jaar",IF(4=$W173,$C173,0),IF($D173="Per half jaar",IF(MOD(4-$W173,6)=0,$C173,0),IF($D173="Per kwartaal",IF(MOD(4-$W173,3)=0,$C173,0),$F173))))))</f>
        <v/>
      </c>
      <c r="O173" s="107" t="str">
        <f aca="false">IF($C173="","",IF(Dashboard!$C$4="Gemiddeld per maand",$F173,IF(OR($D173="Per maand",$D173="Per week",$D173=""),$F173,IF($D173="Per jaar",IF(5=$W173,$C173,0),IF($D173="Per half jaar",IF(MOD(5-$W173,6)=0,$C173,0),IF($D173="Per kwartaal",IF(MOD(5-$W173,3)=0,$C173,0),$F173))))))</f>
        <v/>
      </c>
      <c r="P173" s="107" t="str">
        <f aca="false">IF($C173="","",IF(Dashboard!$C$4="Gemiddeld per maand",$F173,IF(OR($D173="Per maand",$D173="Per week",$D173=""),$F173,IF($D173="Per jaar",IF(6=$W173,$C173,0),IF($D173="Per half jaar",IF(MOD(6-$W173,6)=0,$C173,0),IF($D173="Per kwartaal",IF(MOD(6-$W173,3)=0,$C173,0),$F173))))))</f>
        <v/>
      </c>
      <c r="Q173" s="107" t="str">
        <f aca="false">IF($C173="","",IF(Dashboard!$C$4="Gemiddeld per maand",$F173,IF(OR($D173="Per maand",$D173="Per week",$D173=""),$F173,IF($D173="Per jaar",IF(7=$W173,$C173,0),IF($D173="Per half jaar",IF(MOD(7-$W173,6)=0,$C173,0),IF($D173="Per kwartaal",IF(MOD(7-$W173,3)=0,$C173,0),$F173))))))</f>
        <v/>
      </c>
      <c r="R173" s="107" t="str">
        <f aca="false">IF($C173="","",IF(Dashboard!$C$4="Gemiddeld per maand",$F173,IF(OR($D173="Per maand",$D173="Per week",$D173=""),$F173,IF($D173="Per jaar",IF(8=$W173,$C173,0),IF($D173="Per half jaar",IF(MOD(8-$W173,6)=0,$C173,0),IF($D173="Per kwartaal",IF(MOD(8-$W173,3)=0,$C173,0),$F173))))))</f>
        <v/>
      </c>
      <c r="S173" s="107" t="str">
        <f aca="false">IF($C173="","",IF(Dashboard!$C$4="Gemiddeld per maand",$F173,IF(OR($D173="Per maand",$D173="Per week",$D173=""),$F173,IF($D173="Per jaar",IF(9=$W173,$C173,0),IF($D173="Per half jaar",IF(MOD(9-$W173,6)=0,$C173,0),IF($D173="Per kwartaal",IF(MOD(9-$W173,3)=0,$C173,0),$F173))))))</f>
        <v/>
      </c>
      <c r="T173" s="107" t="str">
        <f aca="false">IF($C173="","",IF(Dashboard!$C$4="Gemiddeld per maand",$F173,IF(OR($D173="Per maand",$D173="Per week",$D173=""),$F173,IF($D173="Per jaar",IF(10=$W173,$C173,0),IF($D173="Per half jaar",IF(MOD(10-$W173,6)=0,$C173,0),IF($D173="Per kwartaal",IF(MOD(10-$W173,3)=0,$C173,0),$F173))))))</f>
        <v/>
      </c>
      <c r="U173" s="107" t="str">
        <f aca="false">IF($C173="","",IF(Dashboard!$C$4="Gemiddeld per maand",$F173,IF(OR($D173="Per maand",$D173="Per week",$D173=""),$F173,IF($D173="Per jaar",IF(11=$W173,$C173,0),IF($D173="Per half jaar",IF(MOD(11-$W173,6)=0,$C173,0),IF($D173="Per kwartaal",IF(MOD(11-$W173,3)=0,$C173,0),$F173))))))</f>
        <v/>
      </c>
      <c r="V173" s="107" t="str">
        <f aca="false">IF($C173="","",IF(Dashboard!$C$4="Gemiddeld per maand",$F173,IF(OR($D173="Per maand",$D173="Per week",$D173=""),$F173,IF($D173="Per jaar",IF(12=$W173,$C173,0),IF($D173="Per half jaar",IF(MOD(12-$W173,6)=0,$C173,0),IF($D173="Per kwartaal",IF(MOD(12-$W173,3)=0,$C173,0),$F173))))))</f>
        <v/>
      </c>
      <c r="W173" s="15" t="n">
        <f aca="false">IF($E173="",1,IFERROR(MATCH($E173,Lijsten!$K$6:$K$17,0),1))</f>
        <v>1</v>
      </c>
    </row>
    <row r="174" customFormat="false" ht="15" hidden="false" customHeight="false" outlineLevel="0" collapsed="false">
      <c r="A174" s="102"/>
      <c r="B174" s="102"/>
      <c r="C174" s="92"/>
      <c r="D174" s="102"/>
      <c r="E174" s="103"/>
      <c r="F174" s="104" t="str">
        <f aca="false">IF($C174="","",IF($D174="Per jaar",$C174/12,IF($D174="Per kwartaal",$C174/3,IF($D174="Per half jaar",$C174/6,IF($D174="Per week",$C174*52/12,$C174)))))</f>
        <v/>
      </c>
      <c r="G174" s="102"/>
      <c r="H174" s="103"/>
      <c r="I174" s="105"/>
      <c r="J174" s="106" t="str">
        <f aca="false">IF($C174="","",IF(Dashboard!$C$4="Gemiddeld per maand",$F174,IF(OR($D174="Per maand",$D174="Per week",$D174=""),$F174,IF($D174="Per jaar",IF(Dashboard!$N$2=$W174,$C174,0),IF($D174="Per half jaar",IF(MOD(Dashboard!$N$2-$W174,6)=0,$C174,0),IF($D174="Per kwartaal",IF(MOD(Dashboard!$N$2-$W174,3)=0,$C174,0),$F174))))))</f>
        <v/>
      </c>
      <c r="K174" s="107" t="str">
        <f aca="false">IF($C174="","",IF(Dashboard!$C$4="Gemiddeld per maand",$F174,IF(OR($D174="Per maand",$D174="Per week",$D174=""),$F174,IF($D174="Per jaar",IF(1=$W174,$C174,0),IF($D174="Per half jaar",IF(MOD(1-$W174,6)=0,$C174,0),IF($D174="Per kwartaal",IF(MOD(1-$W174,3)=0,$C174,0),$F174))))))</f>
        <v/>
      </c>
      <c r="L174" s="107" t="str">
        <f aca="false">IF($C174="","",IF(Dashboard!$C$4="Gemiddeld per maand",$F174,IF(OR($D174="Per maand",$D174="Per week",$D174=""),$F174,IF($D174="Per jaar",IF(2=$W174,$C174,0),IF($D174="Per half jaar",IF(MOD(2-$W174,6)=0,$C174,0),IF($D174="Per kwartaal",IF(MOD(2-$W174,3)=0,$C174,0),$F174))))))</f>
        <v/>
      </c>
      <c r="M174" s="107" t="str">
        <f aca="false">IF($C174="","",IF(Dashboard!$C$4="Gemiddeld per maand",$F174,IF(OR($D174="Per maand",$D174="Per week",$D174=""),$F174,IF($D174="Per jaar",IF(3=$W174,$C174,0),IF($D174="Per half jaar",IF(MOD(3-$W174,6)=0,$C174,0),IF($D174="Per kwartaal",IF(MOD(3-$W174,3)=0,$C174,0),$F174))))))</f>
        <v/>
      </c>
      <c r="N174" s="107" t="str">
        <f aca="false">IF($C174="","",IF(Dashboard!$C$4="Gemiddeld per maand",$F174,IF(OR($D174="Per maand",$D174="Per week",$D174=""),$F174,IF($D174="Per jaar",IF(4=$W174,$C174,0),IF($D174="Per half jaar",IF(MOD(4-$W174,6)=0,$C174,0),IF($D174="Per kwartaal",IF(MOD(4-$W174,3)=0,$C174,0),$F174))))))</f>
        <v/>
      </c>
      <c r="O174" s="107" t="str">
        <f aca="false">IF($C174="","",IF(Dashboard!$C$4="Gemiddeld per maand",$F174,IF(OR($D174="Per maand",$D174="Per week",$D174=""),$F174,IF($D174="Per jaar",IF(5=$W174,$C174,0),IF($D174="Per half jaar",IF(MOD(5-$W174,6)=0,$C174,0),IF($D174="Per kwartaal",IF(MOD(5-$W174,3)=0,$C174,0),$F174))))))</f>
        <v/>
      </c>
      <c r="P174" s="107" t="str">
        <f aca="false">IF($C174="","",IF(Dashboard!$C$4="Gemiddeld per maand",$F174,IF(OR($D174="Per maand",$D174="Per week",$D174=""),$F174,IF($D174="Per jaar",IF(6=$W174,$C174,0),IF($D174="Per half jaar",IF(MOD(6-$W174,6)=0,$C174,0),IF($D174="Per kwartaal",IF(MOD(6-$W174,3)=0,$C174,0),$F174))))))</f>
        <v/>
      </c>
      <c r="Q174" s="107" t="str">
        <f aca="false">IF($C174="","",IF(Dashboard!$C$4="Gemiddeld per maand",$F174,IF(OR($D174="Per maand",$D174="Per week",$D174=""),$F174,IF($D174="Per jaar",IF(7=$W174,$C174,0),IF($D174="Per half jaar",IF(MOD(7-$W174,6)=0,$C174,0),IF($D174="Per kwartaal",IF(MOD(7-$W174,3)=0,$C174,0),$F174))))))</f>
        <v/>
      </c>
      <c r="R174" s="107" t="str">
        <f aca="false">IF($C174="","",IF(Dashboard!$C$4="Gemiddeld per maand",$F174,IF(OR($D174="Per maand",$D174="Per week",$D174=""),$F174,IF($D174="Per jaar",IF(8=$W174,$C174,0),IF($D174="Per half jaar",IF(MOD(8-$W174,6)=0,$C174,0),IF($D174="Per kwartaal",IF(MOD(8-$W174,3)=0,$C174,0),$F174))))))</f>
        <v/>
      </c>
      <c r="S174" s="107" t="str">
        <f aca="false">IF($C174="","",IF(Dashboard!$C$4="Gemiddeld per maand",$F174,IF(OR($D174="Per maand",$D174="Per week",$D174=""),$F174,IF($D174="Per jaar",IF(9=$W174,$C174,0),IF($D174="Per half jaar",IF(MOD(9-$W174,6)=0,$C174,0),IF($D174="Per kwartaal",IF(MOD(9-$W174,3)=0,$C174,0),$F174))))))</f>
        <v/>
      </c>
      <c r="T174" s="107" t="str">
        <f aca="false">IF($C174="","",IF(Dashboard!$C$4="Gemiddeld per maand",$F174,IF(OR($D174="Per maand",$D174="Per week",$D174=""),$F174,IF($D174="Per jaar",IF(10=$W174,$C174,0),IF($D174="Per half jaar",IF(MOD(10-$W174,6)=0,$C174,0),IF($D174="Per kwartaal",IF(MOD(10-$W174,3)=0,$C174,0),$F174))))))</f>
        <v/>
      </c>
      <c r="U174" s="107" t="str">
        <f aca="false">IF($C174="","",IF(Dashboard!$C$4="Gemiddeld per maand",$F174,IF(OR($D174="Per maand",$D174="Per week",$D174=""),$F174,IF($D174="Per jaar",IF(11=$W174,$C174,0),IF($D174="Per half jaar",IF(MOD(11-$W174,6)=0,$C174,0),IF($D174="Per kwartaal",IF(MOD(11-$W174,3)=0,$C174,0),$F174))))))</f>
        <v/>
      </c>
      <c r="V174" s="107" t="str">
        <f aca="false">IF($C174="","",IF(Dashboard!$C$4="Gemiddeld per maand",$F174,IF(OR($D174="Per maand",$D174="Per week",$D174=""),$F174,IF($D174="Per jaar",IF(12=$W174,$C174,0),IF($D174="Per half jaar",IF(MOD(12-$W174,6)=0,$C174,0),IF($D174="Per kwartaal",IF(MOD(12-$W174,3)=0,$C174,0),$F174))))))</f>
        <v/>
      </c>
      <c r="W174" s="15" t="n">
        <f aca="false">IF($E174="",1,IFERROR(MATCH($E174,Lijsten!$K$6:$K$17,0),1))</f>
        <v>1</v>
      </c>
    </row>
    <row r="175" customFormat="false" ht="15" hidden="false" customHeight="false" outlineLevel="0" collapsed="false">
      <c r="A175" s="102"/>
      <c r="B175" s="102"/>
      <c r="C175" s="92"/>
      <c r="D175" s="102"/>
      <c r="E175" s="103"/>
      <c r="F175" s="104" t="str">
        <f aca="false">IF($C175="","",IF($D175="Per jaar",$C175/12,IF($D175="Per kwartaal",$C175/3,IF($D175="Per half jaar",$C175/6,IF($D175="Per week",$C175*52/12,$C175)))))</f>
        <v/>
      </c>
      <c r="G175" s="102"/>
      <c r="H175" s="103"/>
      <c r="I175" s="105"/>
      <c r="J175" s="106" t="str">
        <f aca="false">IF($C175="","",IF(Dashboard!$C$4="Gemiddeld per maand",$F175,IF(OR($D175="Per maand",$D175="Per week",$D175=""),$F175,IF($D175="Per jaar",IF(Dashboard!$N$2=$W175,$C175,0),IF($D175="Per half jaar",IF(MOD(Dashboard!$N$2-$W175,6)=0,$C175,0),IF($D175="Per kwartaal",IF(MOD(Dashboard!$N$2-$W175,3)=0,$C175,0),$F175))))))</f>
        <v/>
      </c>
      <c r="K175" s="107" t="str">
        <f aca="false">IF($C175="","",IF(Dashboard!$C$4="Gemiddeld per maand",$F175,IF(OR($D175="Per maand",$D175="Per week",$D175=""),$F175,IF($D175="Per jaar",IF(1=$W175,$C175,0),IF($D175="Per half jaar",IF(MOD(1-$W175,6)=0,$C175,0),IF($D175="Per kwartaal",IF(MOD(1-$W175,3)=0,$C175,0),$F175))))))</f>
        <v/>
      </c>
      <c r="L175" s="107" t="str">
        <f aca="false">IF($C175="","",IF(Dashboard!$C$4="Gemiddeld per maand",$F175,IF(OR($D175="Per maand",$D175="Per week",$D175=""),$F175,IF($D175="Per jaar",IF(2=$W175,$C175,0),IF($D175="Per half jaar",IF(MOD(2-$W175,6)=0,$C175,0),IF($D175="Per kwartaal",IF(MOD(2-$W175,3)=0,$C175,0),$F175))))))</f>
        <v/>
      </c>
      <c r="M175" s="107" t="str">
        <f aca="false">IF($C175="","",IF(Dashboard!$C$4="Gemiddeld per maand",$F175,IF(OR($D175="Per maand",$D175="Per week",$D175=""),$F175,IF($D175="Per jaar",IF(3=$W175,$C175,0),IF($D175="Per half jaar",IF(MOD(3-$W175,6)=0,$C175,0),IF($D175="Per kwartaal",IF(MOD(3-$W175,3)=0,$C175,0),$F175))))))</f>
        <v/>
      </c>
      <c r="N175" s="107" t="str">
        <f aca="false">IF($C175="","",IF(Dashboard!$C$4="Gemiddeld per maand",$F175,IF(OR($D175="Per maand",$D175="Per week",$D175=""),$F175,IF($D175="Per jaar",IF(4=$W175,$C175,0),IF($D175="Per half jaar",IF(MOD(4-$W175,6)=0,$C175,0),IF($D175="Per kwartaal",IF(MOD(4-$W175,3)=0,$C175,0),$F175))))))</f>
        <v/>
      </c>
      <c r="O175" s="107" t="str">
        <f aca="false">IF($C175="","",IF(Dashboard!$C$4="Gemiddeld per maand",$F175,IF(OR($D175="Per maand",$D175="Per week",$D175=""),$F175,IF($D175="Per jaar",IF(5=$W175,$C175,0),IF($D175="Per half jaar",IF(MOD(5-$W175,6)=0,$C175,0),IF($D175="Per kwartaal",IF(MOD(5-$W175,3)=0,$C175,0),$F175))))))</f>
        <v/>
      </c>
      <c r="P175" s="107" t="str">
        <f aca="false">IF($C175="","",IF(Dashboard!$C$4="Gemiddeld per maand",$F175,IF(OR($D175="Per maand",$D175="Per week",$D175=""),$F175,IF($D175="Per jaar",IF(6=$W175,$C175,0),IF($D175="Per half jaar",IF(MOD(6-$W175,6)=0,$C175,0),IF($D175="Per kwartaal",IF(MOD(6-$W175,3)=0,$C175,0),$F175))))))</f>
        <v/>
      </c>
      <c r="Q175" s="107" t="str">
        <f aca="false">IF($C175="","",IF(Dashboard!$C$4="Gemiddeld per maand",$F175,IF(OR($D175="Per maand",$D175="Per week",$D175=""),$F175,IF($D175="Per jaar",IF(7=$W175,$C175,0),IF($D175="Per half jaar",IF(MOD(7-$W175,6)=0,$C175,0),IF($D175="Per kwartaal",IF(MOD(7-$W175,3)=0,$C175,0),$F175))))))</f>
        <v/>
      </c>
      <c r="R175" s="107" t="str">
        <f aca="false">IF($C175="","",IF(Dashboard!$C$4="Gemiddeld per maand",$F175,IF(OR($D175="Per maand",$D175="Per week",$D175=""),$F175,IF($D175="Per jaar",IF(8=$W175,$C175,0),IF($D175="Per half jaar",IF(MOD(8-$W175,6)=0,$C175,0),IF($D175="Per kwartaal",IF(MOD(8-$W175,3)=0,$C175,0),$F175))))))</f>
        <v/>
      </c>
      <c r="S175" s="107" t="str">
        <f aca="false">IF($C175="","",IF(Dashboard!$C$4="Gemiddeld per maand",$F175,IF(OR($D175="Per maand",$D175="Per week",$D175=""),$F175,IF($D175="Per jaar",IF(9=$W175,$C175,0),IF($D175="Per half jaar",IF(MOD(9-$W175,6)=0,$C175,0),IF($D175="Per kwartaal",IF(MOD(9-$W175,3)=0,$C175,0),$F175))))))</f>
        <v/>
      </c>
      <c r="T175" s="107" t="str">
        <f aca="false">IF($C175="","",IF(Dashboard!$C$4="Gemiddeld per maand",$F175,IF(OR($D175="Per maand",$D175="Per week",$D175=""),$F175,IF($D175="Per jaar",IF(10=$W175,$C175,0),IF($D175="Per half jaar",IF(MOD(10-$W175,6)=0,$C175,0),IF($D175="Per kwartaal",IF(MOD(10-$W175,3)=0,$C175,0),$F175))))))</f>
        <v/>
      </c>
      <c r="U175" s="107" t="str">
        <f aca="false">IF($C175="","",IF(Dashboard!$C$4="Gemiddeld per maand",$F175,IF(OR($D175="Per maand",$D175="Per week",$D175=""),$F175,IF($D175="Per jaar",IF(11=$W175,$C175,0),IF($D175="Per half jaar",IF(MOD(11-$W175,6)=0,$C175,0),IF($D175="Per kwartaal",IF(MOD(11-$W175,3)=0,$C175,0),$F175))))))</f>
        <v/>
      </c>
      <c r="V175" s="107" t="str">
        <f aca="false">IF($C175="","",IF(Dashboard!$C$4="Gemiddeld per maand",$F175,IF(OR($D175="Per maand",$D175="Per week",$D175=""),$F175,IF($D175="Per jaar",IF(12=$W175,$C175,0),IF($D175="Per half jaar",IF(MOD(12-$W175,6)=0,$C175,0),IF($D175="Per kwartaal",IF(MOD(12-$W175,3)=0,$C175,0),$F175))))))</f>
        <v/>
      </c>
      <c r="W175" s="15" t="n">
        <f aca="false">IF($E175="",1,IFERROR(MATCH($E175,Lijsten!$K$6:$K$17,0),1))</f>
        <v>1</v>
      </c>
    </row>
    <row r="176" customFormat="false" ht="15" hidden="false" customHeight="false" outlineLevel="0" collapsed="false">
      <c r="A176" s="102"/>
      <c r="B176" s="102"/>
      <c r="C176" s="92"/>
      <c r="D176" s="102"/>
      <c r="E176" s="103"/>
      <c r="F176" s="104" t="str">
        <f aca="false">IF($C176="","",IF($D176="Per jaar",$C176/12,IF($D176="Per kwartaal",$C176/3,IF($D176="Per half jaar",$C176/6,IF($D176="Per week",$C176*52/12,$C176)))))</f>
        <v/>
      </c>
      <c r="G176" s="102"/>
      <c r="H176" s="103"/>
      <c r="I176" s="105"/>
      <c r="J176" s="106" t="str">
        <f aca="false">IF($C176="","",IF(Dashboard!$C$4="Gemiddeld per maand",$F176,IF(OR($D176="Per maand",$D176="Per week",$D176=""),$F176,IF($D176="Per jaar",IF(Dashboard!$N$2=$W176,$C176,0),IF($D176="Per half jaar",IF(MOD(Dashboard!$N$2-$W176,6)=0,$C176,0),IF($D176="Per kwartaal",IF(MOD(Dashboard!$N$2-$W176,3)=0,$C176,0),$F176))))))</f>
        <v/>
      </c>
      <c r="K176" s="107" t="str">
        <f aca="false">IF($C176="","",IF(Dashboard!$C$4="Gemiddeld per maand",$F176,IF(OR($D176="Per maand",$D176="Per week",$D176=""),$F176,IF($D176="Per jaar",IF(1=$W176,$C176,0),IF($D176="Per half jaar",IF(MOD(1-$W176,6)=0,$C176,0),IF($D176="Per kwartaal",IF(MOD(1-$W176,3)=0,$C176,0),$F176))))))</f>
        <v/>
      </c>
      <c r="L176" s="107" t="str">
        <f aca="false">IF($C176="","",IF(Dashboard!$C$4="Gemiddeld per maand",$F176,IF(OR($D176="Per maand",$D176="Per week",$D176=""),$F176,IF($D176="Per jaar",IF(2=$W176,$C176,0),IF($D176="Per half jaar",IF(MOD(2-$W176,6)=0,$C176,0),IF($D176="Per kwartaal",IF(MOD(2-$W176,3)=0,$C176,0),$F176))))))</f>
        <v/>
      </c>
      <c r="M176" s="107" t="str">
        <f aca="false">IF($C176="","",IF(Dashboard!$C$4="Gemiddeld per maand",$F176,IF(OR($D176="Per maand",$D176="Per week",$D176=""),$F176,IF($D176="Per jaar",IF(3=$W176,$C176,0),IF($D176="Per half jaar",IF(MOD(3-$W176,6)=0,$C176,0),IF($D176="Per kwartaal",IF(MOD(3-$W176,3)=0,$C176,0),$F176))))))</f>
        <v/>
      </c>
      <c r="N176" s="107" t="str">
        <f aca="false">IF($C176="","",IF(Dashboard!$C$4="Gemiddeld per maand",$F176,IF(OR($D176="Per maand",$D176="Per week",$D176=""),$F176,IF($D176="Per jaar",IF(4=$W176,$C176,0),IF($D176="Per half jaar",IF(MOD(4-$W176,6)=0,$C176,0),IF($D176="Per kwartaal",IF(MOD(4-$W176,3)=0,$C176,0),$F176))))))</f>
        <v/>
      </c>
      <c r="O176" s="107" t="str">
        <f aca="false">IF($C176="","",IF(Dashboard!$C$4="Gemiddeld per maand",$F176,IF(OR($D176="Per maand",$D176="Per week",$D176=""),$F176,IF($D176="Per jaar",IF(5=$W176,$C176,0),IF($D176="Per half jaar",IF(MOD(5-$W176,6)=0,$C176,0),IF($D176="Per kwartaal",IF(MOD(5-$W176,3)=0,$C176,0),$F176))))))</f>
        <v/>
      </c>
      <c r="P176" s="107" t="str">
        <f aca="false">IF($C176="","",IF(Dashboard!$C$4="Gemiddeld per maand",$F176,IF(OR($D176="Per maand",$D176="Per week",$D176=""),$F176,IF($D176="Per jaar",IF(6=$W176,$C176,0),IF($D176="Per half jaar",IF(MOD(6-$W176,6)=0,$C176,0),IF($D176="Per kwartaal",IF(MOD(6-$W176,3)=0,$C176,0),$F176))))))</f>
        <v/>
      </c>
      <c r="Q176" s="107" t="str">
        <f aca="false">IF($C176="","",IF(Dashboard!$C$4="Gemiddeld per maand",$F176,IF(OR($D176="Per maand",$D176="Per week",$D176=""),$F176,IF($D176="Per jaar",IF(7=$W176,$C176,0),IF($D176="Per half jaar",IF(MOD(7-$W176,6)=0,$C176,0),IF($D176="Per kwartaal",IF(MOD(7-$W176,3)=0,$C176,0),$F176))))))</f>
        <v/>
      </c>
      <c r="R176" s="107" t="str">
        <f aca="false">IF($C176="","",IF(Dashboard!$C$4="Gemiddeld per maand",$F176,IF(OR($D176="Per maand",$D176="Per week",$D176=""),$F176,IF($D176="Per jaar",IF(8=$W176,$C176,0),IF($D176="Per half jaar",IF(MOD(8-$W176,6)=0,$C176,0),IF($D176="Per kwartaal",IF(MOD(8-$W176,3)=0,$C176,0),$F176))))))</f>
        <v/>
      </c>
      <c r="S176" s="107" t="str">
        <f aca="false">IF($C176="","",IF(Dashboard!$C$4="Gemiddeld per maand",$F176,IF(OR($D176="Per maand",$D176="Per week",$D176=""),$F176,IF($D176="Per jaar",IF(9=$W176,$C176,0),IF($D176="Per half jaar",IF(MOD(9-$W176,6)=0,$C176,0),IF($D176="Per kwartaal",IF(MOD(9-$W176,3)=0,$C176,0),$F176))))))</f>
        <v/>
      </c>
      <c r="T176" s="107" t="str">
        <f aca="false">IF($C176="","",IF(Dashboard!$C$4="Gemiddeld per maand",$F176,IF(OR($D176="Per maand",$D176="Per week",$D176=""),$F176,IF($D176="Per jaar",IF(10=$W176,$C176,0),IF($D176="Per half jaar",IF(MOD(10-$W176,6)=0,$C176,0),IF($D176="Per kwartaal",IF(MOD(10-$W176,3)=0,$C176,0),$F176))))))</f>
        <v/>
      </c>
      <c r="U176" s="107" t="str">
        <f aca="false">IF($C176="","",IF(Dashboard!$C$4="Gemiddeld per maand",$F176,IF(OR($D176="Per maand",$D176="Per week",$D176=""),$F176,IF($D176="Per jaar",IF(11=$W176,$C176,0),IF($D176="Per half jaar",IF(MOD(11-$W176,6)=0,$C176,0),IF($D176="Per kwartaal",IF(MOD(11-$W176,3)=0,$C176,0),$F176))))))</f>
        <v/>
      </c>
      <c r="V176" s="107" t="str">
        <f aca="false">IF($C176="","",IF(Dashboard!$C$4="Gemiddeld per maand",$F176,IF(OR($D176="Per maand",$D176="Per week",$D176=""),$F176,IF($D176="Per jaar",IF(12=$W176,$C176,0),IF($D176="Per half jaar",IF(MOD(12-$W176,6)=0,$C176,0),IF($D176="Per kwartaal",IF(MOD(12-$W176,3)=0,$C176,0),$F176))))))</f>
        <v/>
      </c>
      <c r="W176" s="15" t="n">
        <f aca="false">IF($E176="",1,IFERROR(MATCH($E176,Lijsten!$K$6:$K$17,0),1))</f>
        <v>1</v>
      </c>
    </row>
    <row r="177" customFormat="false" ht="15" hidden="false" customHeight="false" outlineLevel="0" collapsed="false">
      <c r="A177" s="102"/>
      <c r="B177" s="102"/>
      <c r="C177" s="92"/>
      <c r="D177" s="102"/>
      <c r="E177" s="103"/>
      <c r="F177" s="104" t="str">
        <f aca="false">IF($C177="","",IF($D177="Per jaar",$C177/12,IF($D177="Per kwartaal",$C177/3,IF($D177="Per half jaar",$C177/6,IF($D177="Per week",$C177*52/12,$C177)))))</f>
        <v/>
      </c>
      <c r="G177" s="102"/>
      <c r="H177" s="103"/>
      <c r="I177" s="105"/>
      <c r="J177" s="106" t="str">
        <f aca="false">IF($C177="","",IF(Dashboard!$C$4="Gemiddeld per maand",$F177,IF(OR($D177="Per maand",$D177="Per week",$D177=""),$F177,IF($D177="Per jaar",IF(Dashboard!$N$2=$W177,$C177,0),IF($D177="Per half jaar",IF(MOD(Dashboard!$N$2-$W177,6)=0,$C177,0),IF($D177="Per kwartaal",IF(MOD(Dashboard!$N$2-$W177,3)=0,$C177,0),$F177))))))</f>
        <v/>
      </c>
      <c r="K177" s="107" t="str">
        <f aca="false">IF($C177="","",IF(Dashboard!$C$4="Gemiddeld per maand",$F177,IF(OR($D177="Per maand",$D177="Per week",$D177=""),$F177,IF($D177="Per jaar",IF(1=$W177,$C177,0),IF($D177="Per half jaar",IF(MOD(1-$W177,6)=0,$C177,0),IF($D177="Per kwartaal",IF(MOD(1-$W177,3)=0,$C177,0),$F177))))))</f>
        <v/>
      </c>
      <c r="L177" s="107" t="str">
        <f aca="false">IF($C177="","",IF(Dashboard!$C$4="Gemiddeld per maand",$F177,IF(OR($D177="Per maand",$D177="Per week",$D177=""),$F177,IF($D177="Per jaar",IF(2=$W177,$C177,0),IF($D177="Per half jaar",IF(MOD(2-$W177,6)=0,$C177,0),IF($D177="Per kwartaal",IF(MOD(2-$W177,3)=0,$C177,0),$F177))))))</f>
        <v/>
      </c>
      <c r="M177" s="107" t="str">
        <f aca="false">IF($C177="","",IF(Dashboard!$C$4="Gemiddeld per maand",$F177,IF(OR($D177="Per maand",$D177="Per week",$D177=""),$F177,IF($D177="Per jaar",IF(3=$W177,$C177,0),IF($D177="Per half jaar",IF(MOD(3-$W177,6)=0,$C177,0),IF($D177="Per kwartaal",IF(MOD(3-$W177,3)=0,$C177,0),$F177))))))</f>
        <v/>
      </c>
      <c r="N177" s="107" t="str">
        <f aca="false">IF($C177="","",IF(Dashboard!$C$4="Gemiddeld per maand",$F177,IF(OR($D177="Per maand",$D177="Per week",$D177=""),$F177,IF($D177="Per jaar",IF(4=$W177,$C177,0),IF($D177="Per half jaar",IF(MOD(4-$W177,6)=0,$C177,0),IF($D177="Per kwartaal",IF(MOD(4-$W177,3)=0,$C177,0),$F177))))))</f>
        <v/>
      </c>
      <c r="O177" s="107" t="str">
        <f aca="false">IF($C177="","",IF(Dashboard!$C$4="Gemiddeld per maand",$F177,IF(OR($D177="Per maand",$D177="Per week",$D177=""),$F177,IF($D177="Per jaar",IF(5=$W177,$C177,0),IF($D177="Per half jaar",IF(MOD(5-$W177,6)=0,$C177,0),IF($D177="Per kwartaal",IF(MOD(5-$W177,3)=0,$C177,0),$F177))))))</f>
        <v/>
      </c>
      <c r="P177" s="107" t="str">
        <f aca="false">IF($C177="","",IF(Dashboard!$C$4="Gemiddeld per maand",$F177,IF(OR($D177="Per maand",$D177="Per week",$D177=""),$F177,IF($D177="Per jaar",IF(6=$W177,$C177,0),IF($D177="Per half jaar",IF(MOD(6-$W177,6)=0,$C177,0),IF($D177="Per kwartaal",IF(MOD(6-$W177,3)=0,$C177,0),$F177))))))</f>
        <v/>
      </c>
      <c r="Q177" s="107" t="str">
        <f aca="false">IF($C177="","",IF(Dashboard!$C$4="Gemiddeld per maand",$F177,IF(OR($D177="Per maand",$D177="Per week",$D177=""),$F177,IF($D177="Per jaar",IF(7=$W177,$C177,0),IF($D177="Per half jaar",IF(MOD(7-$W177,6)=0,$C177,0),IF($D177="Per kwartaal",IF(MOD(7-$W177,3)=0,$C177,0),$F177))))))</f>
        <v/>
      </c>
      <c r="R177" s="107" t="str">
        <f aca="false">IF($C177="","",IF(Dashboard!$C$4="Gemiddeld per maand",$F177,IF(OR($D177="Per maand",$D177="Per week",$D177=""),$F177,IF($D177="Per jaar",IF(8=$W177,$C177,0),IF($D177="Per half jaar",IF(MOD(8-$W177,6)=0,$C177,0),IF($D177="Per kwartaal",IF(MOD(8-$W177,3)=0,$C177,0),$F177))))))</f>
        <v/>
      </c>
      <c r="S177" s="107" t="str">
        <f aca="false">IF($C177="","",IF(Dashboard!$C$4="Gemiddeld per maand",$F177,IF(OR($D177="Per maand",$D177="Per week",$D177=""),$F177,IF($D177="Per jaar",IF(9=$W177,$C177,0),IF($D177="Per half jaar",IF(MOD(9-$W177,6)=0,$C177,0),IF($D177="Per kwartaal",IF(MOD(9-$W177,3)=0,$C177,0),$F177))))))</f>
        <v/>
      </c>
      <c r="T177" s="107" t="str">
        <f aca="false">IF($C177="","",IF(Dashboard!$C$4="Gemiddeld per maand",$F177,IF(OR($D177="Per maand",$D177="Per week",$D177=""),$F177,IF($D177="Per jaar",IF(10=$W177,$C177,0),IF($D177="Per half jaar",IF(MOD(10-$W177,6)=0,$C177,0),IF($D177="Per kwartaal",IF(MOD(10-$W177,3)=0,$C177,0),$F177))))))</f>
        <v/>
      </c>
      <c r="U177" s="107" t="str">
        <f aca="false">IF($C177="","",IF(Dashboard!$C$4="Gemiddeld per maand",$F177,IF(OR($D177="Per maand",$D177="Per week",$D177=""),$F177,IF($D177="Per jaar",IF(11=$W177,$C177,0),IF($D177="Per half jaar",IF(MOD(11-$W177,6)=0,$C177,0),IF($D177="Per kwartaal",IF(MOD(11-$W177,3)=0,$C177,0),$F177))))))</f>
        <v/>
      </c>
      <c r="V177" s="107" t="str">
        <f aca="false">IF($C177="","",IF(Dashboard!$C$4="Gemiddeld per maand",$F177,IF(OR($D177="Per maand",$D177="Per week",$D177=""),$F177,IF($D177="Per jaar",IF(12=$W177,$C177,0),IF($D177="Per half jaar",IF(MOD(12-$W177,6)=0,$C177,0),IF($D177="Per kwartaal",IF(MOD(12-$W177,3)=0,$C177,0),$F177))))))</f>
        <v/>
      </c>
      <c r="W177" s="15" t="n">
        <f aca="false">IF($E177="",1,IFERROR(MATCH($E177,Lijsten!$K$6:$K$17,0),1))</f>
        <v>1</v>
      </c>
    </row>
    <row r="178" customFormat="false" ht="15" hidden="false" customHeight="false" outlineLevel="0" collapsed="false">
      <c r="A178" s="102"/>
      <c r="B178" s="102"/>
      <c r="C178" s="92"/>
      <c r="D178" s="102"/>
      <c r="E178" s="103"/>
      <c r="F178" s="104" t="str">
        <f aca="false">IF($C178="","",IF($D178="Per jaar",$C178/12,IF($D178="Per kwartaal",$C178/3,IF($D178="Per half jaar",$C178/6,IF($D178="Per week",$C178*52/12,$C178)))))</f>
        <v/>
      </c>
      <c r="G178" s="102"/>
      <c r="H178" s="103"/>
      <c r="I178" s="105"/>
      <c r="J178" s="106" t="str">
        <f aca="false">IF($C178="","",IF(Dashboard!$C$4="Gemiddeld per maand",$F178,IF(OR($D178="Per maand",$D178="Per week",$D178=""),$F178,IF($D178="Per jaar",IF(Dashboard!$N$2=$W178,$C178,0),IF($D178="Per half jaar",IF(MOD(Dashboard!$N$2-$W178,6)=0,$C178,0),IF($D178="Per kwartaal",IF(MOD(Dashboard!$N$2-$W178,3)=0,$C178,0),$F178))))))</f>
        <v/>
      </c>
      <c r="K178" s="107" t="str">
        <f aca="false">IF($C178="","",IF(Dashboard!$C$4="Gemiddeld per maand",$F178,IF(OR($D178="Per maand",$D178="Per week",$D178=""),$F178,IF($D178="Per jaar",IF(1=$W178,$C178,0),IF($D178="Per half jaar",IF(MOD(1-$W178,6)=0,$C178,0),IF($D178="Per kwartaal",IF(MOD(1-$W178,3)=0,$C178,0),$F178))))))</f>
        <v/>
      </c>
      <c r="L178" s="107" t="str">
        <f aca="false">IF($C178="","",IF(Dashboard!$C$4="Gemiddeld per maand",$F178,IF(OR($D178="Per maand",$D178="Per week",$D178=""),$F178,IF($D178="Per jaar",IF(2=$W178,$C178,0),IF($D178="Per half jaar",IF(MOD(2-$W178,6)=0,$C178,0),IF($D178="Per kwartaal",IF(MOD(2-$W178,3)=0,$C178,0),$F178))))))</f>
        <v/>
      </c>
      <c r="M178" s="107" t="str">
        <f aca="false">IF($C178="","",IF(Dashboard!$C$4="Gemiddeld per maand",$F178,IF(OR($D178="Per maand",$D178="Per week",$D178=""),$F178,IF($D178="Per jaar",IF(3=$W178,$C178,0),IF($D178="Per half jaar",IF(MOD(3-$W178,6)=0,$C178,0),IF($D178="Per kwartaal",IF(MOD(3-$W178,3)=0,$C178,0),$F178))))))</f>
        <v/>
      </c>
      <c r="N178" s="107" t="str">
        <f aca="false">IF($C178="","",IF(Dashboard!$C$4="Gemiddeld per maand",$F178,IF(OR($D178="Per maand",$D178="Per week",$D178=""),$F178,IF($D178="Per jaar",IF(4=$W178,$C178,0),IF($D178="Per half jaar",IF(MOD(4-$W178,6)=0,$C178,0),IF($D178="Per kwartaal",IF(MOD(4-$W178,3)=0,$C178,0),$F178))))))</f>
        <v/>
      </c>
      <c r="O178" s="107" t="str">
        <f aca="false">IF($C178="","",IF(Dashboard!$C$4="Gemiddeld per maand",$F178,IF(OR($D178="Per maand",$D178="Per week",$D178=""),$F178,IF($D178="Per jaar",IF(5=$W178,$C178,0),IF($D178="Per half jaar",IF(MOD(5-$W178,6)=0,$C178,0),IF($D178="Per kwartaal",IF(MOD(5-$W178,3)=0,$C178,0),$F178))))))</f>
        <v/>
      </c>
      <c r="P178" s="107" t="str">
        <f aca="false">IF($C178="","",IF(Dashboard!$C$4="Gemiddeld per maand",$F178,IF(OR($D178="Per maand",$D178="Per week",$D178=""),$F178,IF($D178="Per jaar",IF(6=$W178,$C178,0),IF($D178="Per half jaar",IF(MOD(6-$W178,6)=0,$C178,0),IF($D178="Per kwartaal",IF(MOD(6-$W178,3)=0,$C178,0),$F178))))))</f>
        <v/>
      </c>
      <c r="Q178" s="107" t="str">
        <f aca="false">IF($C178="","",IF(Dashboard!$C$4="Gemiddeld per maand",$F178,IF(OR($D178="Per maand",$D178="Per week",$D178=""),$F178,IF($D178="Per jaar",IF(7=$W178,$C178,0),IF($D178="Per half jaar",IF(MOD(7-$W178,6)=0,$C178,0),IF($D178="Per kwartaal",IF(MOD(7-$W178,3)=0,$C178,0),$F178))))))</f>
        <v/>
      </c>
      <c r="R178" s="107" t="str">
        <f aca="false">IF($C178="","",IF(Dashboard!$C$4="Gemiddeld per maand",$F178,IF(OR($D178="Per maand",$D178="Per week",$D178=""),$F178,IF($D178="Per jaar",IF(8=$W178,$C178,0),IF($D178="Per half jaar",IF(MOD(8-$W178,6)=0,$C178,0),IF($D178="Per kwartaal",IF(MOD(8-$W178,3)=0,$C178,0),$F178))))))</f>
        <v/>
      </c>
      <c r="S178" s="107" t="str">
        <f aca="false">IF($C178="","",IF(Dashboard!$C$4="Gemiddeld per maand",$F178,IF(OR($D178="Per maand",$D178="Per week",$D178=""),$F178,IF($D178="Per jaar",IF(9=$W178,$C178,0),IF($D178="Per half jaar",IF(MOD(9-$W178,6)=0,$C178,0),IF($D178="Per kwartaal",IF(MOD(9-$W178,3)=0,$C178,0),$F178))))))</f>
        <v/>
      </c>
      <c r="T178" s="107" t="str">
        <f aca="false">IF($C178="","",IF(Dashboard!$C$4="Gemiddeld per maand",$F178,IF(OR($D178="Per maand",$D178="Per week",$D178=""),$F178,IF($D178="Per jaar",IF(10=$W178,$C178,0),IF($D178="Per half jaar",IF(MOD(10-$W178,6)=0,$C178,0),IF($D178="Per kwartaal",IF(MOD(10-$W178,3)=0,$C178,0),$F178))))))</f>
        <v/>
      </c>
      <c r="U178" s="107" t="str">
        <f aca="false">IF($C178="","",IF(Dashboard!$C$4="Gemiddeld per maand",$F178,IF(OR($D178="Per maand",$D178="Per week",$D178=""),$F178,IF($D178="Per jaar",IF(11=$W178,$C178,0),IF($D178="Per half jaar",IF(MOD(11-$W178,6)=0,$C178,0),IF($D178="Per kwartaal",IF(MOD(11-$W178,3)=0,$C178,0),$F178))))))</f>
        <v/>
      </c>
      <c r="V178" s="107" t="str">
        <f aca="false">IF($C178="","",IF(Dashboard!$C$4="Gemiddeld per maand",$F178,IF(OR($D178="Per maand",$D178="Per week",$D178=""),$F178,IF($D178="Per jaar",IF(12=$W178,$C178,0),IF($D178="Per half jaar",IF(MOD(12-$W178,6)=0,$C178,0),IF($D178="Per kwartaal",IF(MOD(12-$W178,3)=0,$C178,0),$F178))))))</f>
        <v/>
      </c>
      <c r="W178" s="15" t="n">
        <f aca="false">IF($E178="",1,IFERROR(MATCH($E178,Lijsten!$K$6:$K$17,0),1))</f>
        <v>1</v>
      </c>
    </row>
    <row r="179" customFormat="false" ht="15" hidden="false" customHeight="false" outlineLevel="0" collapsed="false">
      <c r="A179" s="102"/>
      <c r="B179" s="102"/>
      <c r="C179" s="92"/>
      <c r="D179" s="102"/>
      <c r="E179" s="103"/>
      <c r="F179" s="104" t="str">
        <f aca="false">IF($C179="","",IF($D179="Per jaar",$C179/12,IF($D179="Per kwartaal",$C179/3,IF($D179="Per half jaar",$C179/6,IF($D179="Per week",$C179*52/12,$C179)))))</f>
        <v/>
      </c>
      <c r="G179" s="102"/>
      <c r="H179" s="103"/>
      <c r="I179" s="105"/>
      <c r="J179" s="106" t="str">
        <f aca="false">IF($C179="","",IF(Dashboard!$C$4="Gemiddeld per maand",$F179,IF(OR($D179="Per maand",$D179="Per week",$D179=""),$F179,IF($D179="Per jaar",IF(Dashboard!$N$2=$W179,$C179,0),IF($D179="Per half jaar",IF(MOD(Dashboard!$N$2-$W179,6)=0,$C179,0),IF($D179="Per kwartaal",IF(MOD(Dashboard!$N$2-$W179,3)=0,$C179,0),$F179))))))</f>
        <v/>
      </c>
      <c r="K179" s="107" t="str">
        <f aca="false">IF($C179="","",IF(Dashboard!$C$4="Gemiddeld per maand",$F179,IF(OR($D179="Per maand",$D179="Per week",$D179=""),$F179,IF($D179="Per jaar",IF(1=$W179,$C179,0),IF($D179="Per half jaar",IF(MOD(1-$W179,6)=0,$C179,0),IF($D179="Per kwartaal",IF(MOD(1-$W179,3)=0,$C179,0),$F179))))))</f>
        <v/>
      </c>
      <c r="L179" s="107" t="str">
        <f aca="false">IF($C179="","",IF(Dashboard!$C$4="Gemiddeld per maand",$F179,IF(OR($D179="Per maand",$D179="Per week",$D179=""),$F179,IF($D179="Per jaar",IF(2=$W179,$C179,0),IF($D179="Per half jaar",IF(MOD(2-$W179,6)=0,$C179,0),IF($D179="Per kwartaal",IF(MOD(2-$W179,3)=0,$C179,0),$F179))))))</f>
        <v/>
      </c>
      <c r="M179" s="107" t="str">
        <f aca="false">IF($C179="","",IF(Dashboard!$C$4="Gemiddeld per maand",$F179,IF(OR($D179="Per maand",$D179="Per week",$D179=""),$F179,IF($D179="Per jaar",IF(3=$W179,$C179,0),IF($D179="Per half jaar",IF(MOD(3-$W179,6)=0,$C179,0),IF($D179="Per kwartaal",IF(MOD(3-$W179,3)=0,$C179,0),$F179))))))</f>
        <v/>
      </c>
      <c r="N179" s="107" t="str">
        <f aca="false">IF($C179="","",IF(Dashboard!$C$4="Gemiddeld per maand",$F179,IF(OR($D179="Per maand",$D179="Per week",$D179=""),$F179,IF($D179="Per jaar",IF(4=$W179,$C179,0),IF($D179="Per half jaar",IF(MOD(4-$W179,6)=0,$C179,0),IF($D179="Per kwartaal",IF(MOD(4-$W179,3)=0,$C179,0),$F179))))))</f>
        <v/>
      </c>
      <c r="O179" s="107" t="str">
        <f aca="false">IF($C179="","",IF(Dashboard!$C$4="Gemiddeld per maand",$F179,IF(OR($D179="Per maand",$D179="Per week",$D179=""),$F179,IF($D179="Per jaar",IF(5=$W179,$C179,0),IF($D179="Per half jaar",IF(MOD(5-$W179,6)=0,$C179,0),IF($D179="Per kwartaal",IF(MOD(5-$W179,3)=0,$C179,0),$F179))))))</f>
        <v/>
      </c>
      <c r="P179" s="107" t="str">
        <f aca="false">IF($C179="","",IF(Dashboard!$C$4="Gemiddeld per maand",$F179,IF(OR($D179="Per maand",$D179="Per week",$D179=""),$F179,IF($D179="Per jaar",IF(6=$W179,$C179,0),IF($D179="Per half jaar",IF(MOD(6-$W179,6)=0,$C179,0),IF($D179="Per kwartaal",IF(MOD(6-$W179,3)=0,$C179,0),$F179))))))</f>
        <v/>
      </c>
      <c r="Q179" s="107" t="str">
        <f aca="false">IF($C179="","",IF(Dashboard!$C$4="Gemiddeld per maand",$F179,IF(OR($D179="Per maand",$D179="Per week",$D179=""),$F179,IF($D179="Per jaar",IF(7=$W179,$C179,0),IF($D179="Per half jaar",IF(MOD(7-$W179,6)=0,$C179,0),IF($D179="Per kwartaal",IF(MOD(7-$W179,3)=0,$C179,0),$F179))))))</f>
        <v/>
      </c>
      <c r="R179" s="107" t="str">
        <f aca="false">IF($C179="","",IF(Dashboard!$C$4="Gemiddeld per maand",$F179,IF(OR($D179="Per maand",$D179="Per week",$D179=""),$F179,IF($D179="Per jaar",IF(8=$W179,$C179,0),IF($D179="Per half jaar",IF(MOD(8-$W179,6)=0,$C179,0),IF($D179="Per kwartaal",IF(MOD(8-$W179,3)=0,$C179,0),$F179))))))</f>
        <v/>
      </c>
      <c r="S179" s="107" t="str">
        <f aca="false">IF($C179="","",IF(Dashboard!$C$4="Gemiddeld per maand",$F179,IF(OR($D179="Per maand",$D179="Per week",$D179=""),$F179,IF($D179="Per jaar",IF(9=$W179,$C179,0),IF($D179="Per half jaar",IF(MOD(9-$W179,6)=0,$C179,0),IF($D179="Per kwartaal",IF(MOD(9-$W179,3)=0,$C179,0),$F179))))))</f>
        <v/>
      </c>
      <c r="T179" s="107" t="str">
        <f aca="false">IF($C179="","",IF(Dashboard!$C$4="Gemiddeld per maand",$F179,IF(OR($D179="Per maand",$D179="Per week",$D179=""),$F179,IF($D179="Per jaar",IF(10=$W179,$C179,0),IF($D179="Per half jaar",IF(MOD(10-$W179,6)=0,$C179,0),IF($D179="Per kwartaal",IF(MOD(10-$W179,3)=0,$C179,0),$F179))))))</f>
        <v/>
      </c>
      <c r="U179" s="107" t="str">
        <f aca="false">IF($C179="","",IF(Dashboard!$C$4="Gemiddeld per maand",$F179,IF(OR($D179="Per maand",$D179="Per week",$D179=""),$F179,IF($D179="Per jaar",IF(11=$W179,$C179,0),IF($D179="Per half jaar",IF(MOD(11-$W179,6)=0,$C179,0),IF($D179="Per kwartaal",IF(MOD(11-$W179,3)=0,$C179,0),$F179))))))</f>
        <v/>
      </c>
      <c r="V179" s="107" t="str">
        <f aca="false">IF($C179="","",IF(Dashboard!$C$4="Gemiddeld per maand",$F179,IF(OR($D179="Per maand",$D179="Per week",$D179=""),$F179,IF($D179="Per jaar",IF(12=$W179,$C179,0),IF($D179="Per half jaar",IF(MOD(12-$W179,6)=0,$C179,0),IF($D179="Per kwartaal",IF(MOD(12-$W179,3)=0,$C179,0),$F179))))))</f>
        <v/>
      </c>
      <c r="W179" s="15" t="n">
        <f aca="false">IF($E179="",1,IFERROR(MATCH($E179,Lijsten!$K$6:$K$17,0),1))</f>
        <v>1</v>
      </c>
    </row>
    <row r="180" customFormat="false" ht="15" hidden="false" customHeight="false" outlineLevel="0" collapsed="false">
      <c r="A180" s="102"/>
      <c r="B180" s="102"/>
      <c r="C180" s="92"/>
      <c r="D180" s="102"/>
      <c r="E180" s="103"/>
      <c r="F180" s="104" t="str">
        <f aca="false">IF($C180="","",IF($D180="Per jaar",$C180/12,IF($D180="Per kwartaal",$C180/3,IF($D180="Per half jaar",$C180/6,IF($D180="Per week",$C180*52/12,$C180)))))</f>
        <v/>
      </c>
      <c r="G180" s="102"/>
      <c r="H180" s="103"/>
      <c r="I180" s="105"/>
      <c r="J180" s="106" t="str">
        <f aca="false">IF($C180="","",IF(Dashboard!$C$4="Gemiddeld per maand",$F180,IF(OR($D180="Per maand",$D180="Per week",$D180=""),$F180,IF($D180="Per jaar",IF(Dashboard!$N$2=$W180,$C180,0),IF($D180="Per half jaar",IF(MOD(Dashboard!$N$2-$W180,6)=0,$C180,0),IF($D180="Per kwartaal",IF(MOD(Dashboard!$N$2-$W180,3)=0,$C180,0),$F180))))))</f>
        <v/>
      </c>
      <c r="K180" s="107" t="str">
        <f aca="false">IF($C180="","",IF(Dashboard!$C$4="Gemiddeld per maand",$F180,IF(OR($D180="Per maand",$D180="Per week",$D180=""),$F180,IF($D180="Per jaar",IF(1=$W180,$C180,0),IF($D180="Per half jaar",IF(MOD(1-$W180,6)=0,$C180,0),IF($D180="Per kwartaal",IF(MOD(1-$W180,3)=0,$C180,0),$F180))))))</f>
        <v/>
      </c>
      <c r="L180" s="107" t="str">
        <f aca="false">IF($C180="","",IF(Dashboard!$C$4="Gemiddeld per maand",$F180,IF(OR($D180="Per maand",$D180="Per week",$D180=""),$F180,IF($D180="Per jaar",IF(2=$W180,$C180,0),IF($D180="Per half jaar",IF(MOD(2-$W180,6)=0,$C180,0),IF($D180="Per kwartaal",IF(MOD(2-$W180,3)=0,$C180,0),$F180))))))</f>
        <v/>
      </c>
      <c r="M180" s="107" t="str">
        <f aca="false">IF($C180="","",IF(Dashboard!$C$4="Gemiddeld per maand",$F180,IF(OR($D180="Per maand",$D180="Per week",$D180=""),$F180,IF($D180="Per jaar",IF(3=$W180,$C180,0),IF($D180="Per half jaar",IF(MOD(3-$W180,6)=0,$C180,0),IF($D180="Per kwartaal",IF(MOD(3-$W180,3)=0,$C180,0),$F180))))))</f>
        <v/>
      </c>
      <c r="N180" s="107" t="str">
        <f aca="false">IF($C180="","",IF(Dashboard!$C$4="Gemiddeld per maand",$F180,IF(OR($D180="Per maand",$D180="Per week",$D180=""),$F180,IF($D180="Per jaar",IF(4=$W180,$C180,0),IF($D180="Per half jaar",IF(MOD(4-$W180,6)=0,$C180,0),IF($D180="Per kwartaal",IF(MOD(4-$W180,3)=0,$C180,0),$F180))))))</f>
        <v/>
      </c>
      <c r="O180" s="107" t="str">
        <f aca="false">IF($C180="","",IF(Dashboard!$C$4="Gemiddeld per maand",$F180,IF(OR($D180="Per maand",$D180="Per week",$D180=""),$F180,IF($D180="Per jaar",IF(5=$W180,$C180,0),IF($D180="Per half jaar",IF(MOD(5-$W180,6)=0,$C180,0),IF($D180="Per kwartaal",IF(MOD(5-$W180,3)=0,$C180,0),$F180))))))</f>
        <v/>
      </c>
      <c r="P180" s="107" t="str">
        <f aca="false">IF($C180="","",IF(Dashboard!$C$4="Gemiddeld per maand",$F180,IF(OR($D180="Per maand",$D180="Per week",$D180=""),$F180,IF($D180="Per jaar",IF(6=$W180,$C180,0),IF($D180="Per half jaar",IF(MOD(6-$W180,6)=0,$C180,0),IF($D180="Per kwartaal",IF(MOD(6-$W180,3)=0,$C180,0),$F180))))))</f>
        <v/>
      </c>
      <c r="Q180" s="107" t="str">
        <f aca="false">IF($C180="","",IF(Dashboard!$C$4="Gemiddeld per maand",$F180,IF(OR($D180="Per maand",$D180="Per week",$D180=""),$F180,IF($D180="Per jaar",IF(7=$W180,$C180,0),IF($D180="Per half jaar",IF(MOD(7-$W180,6)=0,$C180,0),IF($D180="Per kwartaal",IF(MOD(7-$W180,3)=0,$C180,0),$F180))))))</f>
        <v/>
      </c>
      <c r="R180" s="107" t="str">
        <f aca="false">IF($C180="","",IF(Dashboard!$C$4="Gemiddeld per maand",$F180,IF(OR($D180="Per maand",$D180="Per week",$D180=""),$F180,IF($D180="Per jaar",IF(8=$W180,$C180,0),IF($D180="Per half jaar",IF(MOD(8-$W180,6)=0,$C180,0),IF($D180="Per kwartaal",IF(MOD(8-$W180,3)=0,$C180,0),$F180))))))</f>
        <v/>
      </c>
      <c r="S180" s="107" t="str">
        <f aca="false">IF($C180="","",IF(Dashboard!$C$4="Gemiddeld per maand",$F180,IF(OR($D180="Per maand",$D180="Per week",$D180=""),$F180,IF($D180="Per jaar",IF(9=$W180,$C180,0),IF($D180="Per half jaar",IF(MOD(9-$W180,6)=0,$C180,0),IF($D180="Per kwartaal",IF(MOD(9-$W180,3)=0,$C180,0),$F180))))))</f>
        <v/>
      </c>
      <c r="T180" s="107" t="str">
        <f aca="false">IF($C180="","",IF(Dashboard!$C$4="Gemiddeld per maand",$F180,IF(OR($D180="Per maand",$D180="Per week",$D180=""),$F180,IF($D180="Per jaar",IF(10=$W180,$C180,0),IF($D180="Per half jaar",IF(MOD(10-$W180,6)=0,$C180,0),IF($D180="Per kwartaal",IF(MOD(10-$W180,3)=0,$C180,0),$F180))))))</f>
        <v/>
      </c>
      <c r="U180" s="107" t="str">
        <f aca="false">IF($C180="","",IF(Dashboard!$C$4="Gemiddeld per maand",$F180,IF(OR($D180="Per maand",$D180="Per week",$D180=""),$F180,IF($D180="Per jaar",IF(11=$W180,$C180,0),IF($D180="Per half jaar",IF(MOD(11-$W180,6)=0,$C180,0),IF($D180="Per kwartaal",IF(MOD(11-$W180,3)=0,$C180,0),$F180))))))</f>
        <v/>
      </c>
      <c r="V180" s="107" t="str">
        <f aca="false">IF($C180="","",IF(Dashboard!$C$4="Gemiddeld per maand",$F180,IF(OR($D180="Per maand",$D180="Per week",$D180=""),$F180,IF($D180="Per jaar",IF(12=$W180,$C180,0),IF($D180="Per half jaar",IF(MOD(12-$W180,6)=0,$C180,0),IF($D180="Per kwartaal",IF(MOD(12-$W180,3)=0,$C180,0),$F180))))))</f>
        <v/>
      </c>
      <c r="W180" s="15" t="n">
        <f aca="false">IF($E180="",1,IFERROR(MATCH($E180,Lijsten!$K$6:$K$17,0),1))</f>
        <v>1</v>
      </c>
    </row>
    <row r="181" customFormat="false" ht="15" hidden="false" customHeight="false" outlineLevel="0" collapsed="false">
      <c r="A181" s="102"/>
      <c r="B181" s="102"/>
      <c r="C181" s="92"/>
      <c r="D181" s="102"/>
      <c r="E181" s="103"/>
      <c r="F181" s="104" t="str">
        <f aca="false">IF($C181="","",IF($D181="Per jaar",$C181/12,IF($D181="Per kwartaal",$C181/3,IF($D181="Per half jaar",$C181/6,IF($D181="Per week",$C181*52/12,$C181)))))</f>
        <v/>
      </c>
      <c r="G181" s="102"/>
      <c r="H181" s="103"/>
      <c r="I181" s="105"/>
      <c r="J181" s="106" t="str">
        <f aca="false">IF($C181="","",IF(Dashboard!$C$4="Gemiddeld per maand",$F181,IF(OR($D181="Per maand",$D181="Per week",$D181=""),$F181,IF($D181="Per jaar",IF(Dashboard!$N$2=$W181,$C181,0),IF($D181="Per half jaar",IF(MOD(Dashboard!$N$2-$W181,6)=0,$C181,0),IF($D181="Per kwartaal",IF(MOD(Dashboard!$N$2-$W181,3)=0,$C181,0),$F181))))))</f>
        <v/>
      </c>
      <c r="K181" s="107" t="str">
        <f aca="false">IF($C181="","",IF(Dashboard!$C$4="Gemiddeld per maand",$F181,IF(OR($D181="Per maand",$D181="Per week",$D181=""),$F181,IF($D181="Per jaar",IF(1=$W181,$C181,0),IF($D181="Per half jaar",IF(MOD(1-$W181,6)=0,$C181,0),IF($D181="Per kwartaal",IF(MOD(1-$W181,3)=0,$C181,0),$F181))))))</f>
        <v/>
      </c>
      <c r="L181" s="107" t="str">
        <f aca="false">IF($C181="","",IF(Dashboard!$C$4="Gemiddeld per maand",$F181,IF(OR($D181="Per maand",$D181="Per week",$D181=""),$F181,IF($D181="Per jaar",IF(2=$W181,$C181,0),IF($D181="Per half jaar",IF(MOD(2-$W181,6)=0,$C181,0),IF($D181="Per kwartaal",IF(MOD(2-$W181,3)=0,$C181,0),$F181))))))</f>
        <v/>
      </c>
      <c r="M181" s="107" t="str">
        <f aca="false">IF($C181="","",IF(Dashboard!$C$4="Gemiddeld per maand",$F181,IF(OR($D181="Per maand",$D181="Per week",$D181=""),$F181,IF($D181="Per jaar",IF(3=$W181,$C181,0),IF($D181="Per half jaar",IF(MOD(3-$W181,6)=0,$C181,0),IF($D181="Per kwartaal",IF(MOD(3-$W181,3)=0,$C181,0),$F181))))))</f>
        <v/>
      </c>
      <c r="N181" s="107" t="str">
        <f aca="false">IF($C181="","",IF(Dashboard!$C$4="Gemiddeld per maand",$F181,IF(OR($D181="Per maand",$D181="Per week",$D181=""),$F181,IF($D181="Per jaar",IF(4=$W181,$C181,0),IF($D181="Per half jaar",IF(MOD(4-$W181,6)=0,$C181,0),IF($D181="Per kwartaal",IF(MOD(4-$W181,3)=0,$C181,0),$F181))))))</f>
        <v/>
      </c>
      <c r="O181" s="107" t="str">
        <f aca="false">IF($C181="","",IF(Dashboard!$C$4="Gemiddeld per maand",$F181,IF(OR($D181="Per maand",$D181="Per week",$D181=""),$F181,IF($D181="Per jaar",IF(5=$W181,$C181,0),IF($D181="Per half jaar",IF(MOD(5-$W181,6)=0,$C181,0),IF($D181="Per kwartaal",IF(MOD(5-$W181,3)=0,$C181,0),$F181))))))</f>
        <v/>
      </c>
      <c r="P181" s="107" t="str">
        <f aca="false">IF($C181="","",IF(Dashboard!$C$4="Gemiddeld per maand",$F181,IF(OR($D181="Per maand",$D181="Per week",$D181=""),$F181,IF($D181="Per jaar",IF(6=$W181,$C181,0),IF($D181="Per half jaar",IF(MOD(6-$W181,6)=0,$C181,0),IF($D181="Per kwartaal",IF(MOD(6-$W181,3)=0,$C181,0),$F181))))))</f>
        <v/>
      </c>
      <c r="Q181" s="107" t="str">
        <f aca="false">IF($C181="","",IF(Dashboard!$C$4="Gemiddeld per maand",$F181,IF(OR($D181="Per maand",$D181="Per week",$D181=""),$F181,IF($D181="Per jaar",IF(7=$W181,$C181,0),IF($D181="Per half jaar",IF(MOD(7-$W181,6)=0,$C181,0),IF($D181="Per kwartaal",IF(MOD(7-$W181,3)=0,$C181,0),$F181))))))</f>
        <v/>
      </c>
      <c r="R181" s="107" t="str">
        <f aca="false">IF($C181="","",IF(Dashboard!$C$4="Gemiddeld per maand",$F181,IF(OR($D181="Per maand",$D181="Per week",$D181=""),$F181,IF($D181="Per jaar",IF(8=$W181,$C181,0),IF($D181="Per half jaar",IF(MOD(8-$W181,6)=0,$C181,0),IF($D181="Per kwartaal",IF(MOD(8-$W181,3)=0,$C181,0),$F181))))))</f>
        <v/>
      </c>
      <c r="S181" s="107" t="str">
        <f aca="false">IF($C181="","",IF(Dashboard!$C$4="Gemiddeld per maand",$F181,IF(OR($D181="Per maand",$D181="Per week",$D181=""),$F181,IF($D181="Per jaar",IF(9=$W181,$C181,0),IF($D181="Per half jaar",IF(MOD(9-$W181,6)=0,$C181,0),IF($D181="Per kwartaal",IF(MOD(9-$W181,3)=0,$C181,0),$F181))))))</f>
        <v/>
      </c>
      <c r="T181" s="107" t="str">
        <f aca="false">IF($C181="","",IF(Dashboard!$C$4="Gemiddeld per maand",$F181,IF(OR($D181="Per maand",$D181="Per week",$D181=""),$F181,IF($D181="Per jaar",IF(10=$W181,$C181,0),IF($D181="Per half jaar",IF(MOD(10-$W181,6)=0,$C181,0),IF($D181="Per kwartaal",IF(MOD(10-$W181,3)=0,$C181,0),$F181))))))</f>
        <v/>
      </c>
      <c r="U181" s="107" t="str">
        <f aca="false">IF($C181="","",IF(Dashboard!$C$4="Gemiddeld per maand",$F181,IF(OR($D181="Per maand",$D181="Per week",$D181=""),$F181,IF($D181="Per jaar",IF(11=$W181,$C181,0),IF($D181="Per half jaar",IF(MOD(11-$W181,6)=0,$C181,0),IF($D181="Per kwartaal",IF(MOD(11-$W181,3)=0,$C181,0),$F181))))))</f>
        <v/>
      </c>
      <c r="V181" s="107" t="str">
        <f aca="false">IF($C181="","",IF(Dashboard!$C$4="Gemiddeld per maand",$F181,IF(OR($D181="Per maand",$D181="Per week",$D181=""),$F181,IF($D181="Per jaar",IF(12=$W181,$C181,0),IF($D181="Per half jaar",IF(MOD(12-$W181,6)=0,$C181,0),IF($D181="Per kwartaal",IF(MOD(12-$W181,3)=0,$C181,0),$F181))))))</f>
        <v/>
      </c>
      <c r="W181" s="15" t="n">
        <f aca="false">IF($E181="",1,IFERROR(MATCH($E181,Lijsten!$K$6:$K$17,0),1))</f>
        <v>1</v>
      </c>
    </row>
    <row r="182" customFormat="false" ht="15" hidden="false" customHeight="false" outlineLevel="0" collapsed="false">
      <c r="A182" s="102"/>
      <c r="B182" s="102"/>
      <c r="C182" s="92"/>
      <c r="D182" s="102"/>
      <c r="E182" s="103"/>
      <c r="F182" s="104" t="str">
        <f aca="false">IF($C182="","",IF($D182="Per jaar",$C182/12,IF($D182="Per kwartaal",$C182/3,IF($D182="Per half jaar",$C182/6,IF($D182="Per week",$C182*52/12,$C182)))))</f>
        <v/>
      </c>
      <c r="G182" s="102"/>
      <c r="H182" s="103"/>
      <c r="I182" s="105"/>
      <c r="J182" s="106" t="str">
        <f aca="false">IF($C182="","",IF(Dashboard!$C$4="Gemiddeld per maand",$F182,IF(OR($D182="Per maand",$D182="Per week",$D182=""),$F182,IF($D182="Per jaar",IF(Dashboard!$N$2=$W182,$C182,0),IF($D182="Per half jaar",IF(MOD(Dashboard!$N$2-$W182,6)=0,$C182,0),IF($D182="Per kwartaal",IF(MOD(Dashboard!$N$2-$W182,3)=0,$C182,0),$F182))))))</f>
        <v/>
      </c>
      <c r="K182" s="107" t="str">
        <f aca="false">IF($C182="","",IF(Dashboard!$C$4="Gemiddeld per maand",$F182,IF(OR($D182="Per maand",$D182="Per week",$D182=""),$F182,IF($D182="Per jaar",IF(1=$W182,$C182,0),IF($D182="Per half jaar",IF(MOD(1-$W182,6)=0,$C182,0),IF($D182="Per kwartaal",IF(MOD(1-$W182,3)=0,$C182,0),$F182))))))</f>
        <v/>
      </c>
      <c r="L182" s="107" t="str">
        <f aca="false">IF($C182="","",IF(Dashboard!$C$4="Gemiddeld per maand",$F182,IF(OR($D182="Per maand",$D182="Per week",$D182=""),$F182,IF($D182="Per jaar",IF(2=$W182,$C182,0),IF($D182="Per half jaar",IF(MOD(2-$W182,6)=0,$C182,0),IF($D182="Per kwartaal",IF(MOD(2-$W182,3)=0,$C182,0),$F182))))))</f>
        <v/>
      </c>
      <c r="M182" s="107" t="str">
        <f aca="false">IF($C182="","",IF(Dashboard!$C$4="Gemiddeld per maand",$F182,IF(OR($D182="Per maand",$D182="Per week",$D182=""),$F182,IF($D182="Per jaar",IF(3=$W182,$C182,0),IF($D182="Per half jaar",IF(MOD(3-$W182,6)=0,$C182,0),IF($D182="Per kwartaal",IF(MOD(3-$W182,3)=0,$C182,0),$F182))))))</f>
        <v/>
      </c>
      <c r="N182" s="107" t="str">
        <f aca="false">IF($C182="","",IF(Dashboard!$C$4="Gemiddeld per maand",$F182,IF(OR($D182="Per maand",$D182="Per week",$D182=""),$F182,IF($D182="Per jaar",IF(4=$W182,$C182,0),IF($D182="Per half jaar",IF(MOD(4-$W182,6)=0,$C182,0),IF($D182="Per kwartaal",IF(MOD(4-$W182,3)=0,$C182,0),$F182))))))</f>
        <v/>
      </c>
      <c r="O182" s="107" t="str">
        <f aca="false">IF($C182="","",IF(Dashboard!$C$4="Gemiddeld per maand",$F182,IF(OR($D182="Per maand",$D182="Per week",$D182=""),$F182,IF($D182="Per jaar",IF(5=$W182,$C182,0),IF($D182="Per half jaar",IF(MOD(5-$W182,6)=0,$C182,0),IF($D182="Per kwartaal",IF(MOD(5-$W182,3)=0,$C182,0),$F182))))))</f>
        <v/>
      </c>
      <c r="P182" s="107" t="str">
        <f aca="false">IF($C182="","",IF(Dashboard!$C$4="Gemiddeld per maand",$F182,IF(OR($D182="Per maand",$D182="Per week",$D182=""),$F182,IF($D182="Per jaar",IF(6=$W182,$C182,0),IF($D182="Per half jaar",IF(MOD(6-$W182,6)=0,$C182,0),IF($D182="Per kwartaal",IF(MOD(6-$W182,3)=0,$C182,0),$F182))))))</f>
        <v/>
      </c>
      <c r="Q182" s="107" t="str">
        <f aca="false">IF($C182="","",IF(Dashboard!$C$4="Gemiddeld per maand",$F182,IF(OR($D182="Per maand",$D182="Per week",$D182=""),$F182,IF($D182="Per jaar",IF(7=$W182,$C182,0),IF($D182="Per half jaar",IF(MOD(7-$W182,6)=0,$C182,0),IF($D182="Per kwartaal",IF(MOD(7-$W182,3)=0,$C182,0),$F182))))))</f>
        <v/>
      </c>
      <c r="R182" s="107" t="str">
        <f aca="false">IF($C182="","",IF(Dashboard!$C$4="Gemiddeld per maand",$F182,IF(OR($D182="Per maand",$D182="Per week",$D182=""),$F182,IF($D182="Per jaar",IF(8=$W182,$C182,0),IF($D182="Per half jaar",IF(MOD(8-$W182,6)=0,$C182,0),IF($D182="Per kwartaal",IF(MOD(8-$W182,3)=0,$C182,0),$F182))))))</f>
        <v/>
      </c>
      <c r="S182" s="107" t="str">
        <f aca="false">IF($C182="","",IF(Dashboard!$C$4="Gemiddeld per maand",$F182,IF(OR($D182="Per maand",$D182="Per week",$D182=""),$F182,IF($D182="Per jaar",IF(9=$W182,$C182,0),IF($D182="Per half jaar",IF(MOD(9-$W182,6)=0,$C182,0),IF($D182="Per kwartaal",IF(MOD(9-$W182,3)=0,$C182,0),$F182))))))</f>
        <v/>
      </c>
      <c r="T182" s="107" t="str">
        <f aca="false">IF($C182="","",IF(Dashboard!$C$4="Gemiddeld per maand",$F182,IF(OR($D182="Per maand",$D182="Per week",$D182=""),$F182,IF($D182="Per jaar",IF(10=$W182,$C182,0),IF($D182="Per half jaar",IF(MOD(10-$W182,6)=0,$C182,0),IF($D182="Per kwartaal",IF(MOD(10-$W182,3)=0,$C182,0),$F182))))))</f>
        <v/>
      </c>
      <c r="U182" s="107" t="str">
        <f aca="false">IF($C182="","",IF(Dashboard!$C$4="Gemiddeld per maand",$F182,IF(OR($D182="Per maand",$D182="Per week",$D182=""),$F182,IF($D182="Per jaar",IF(11=$W182,$C182,0),IF($D182="Per half jaar",IF(MOD(11-$W182,6)=0,$C182,0),IF($D182="Per kwartaal",IF(MOD(11-$W182,3)=0,$C182,0),$F182))))))</f>
        <v/>
      </c>
      <c r="V182" s="107" t="str">
        <f aca="false">IF($C182="","",IF(Dashboard!$C$4="Gemiddeld per maand",$F182,IF(OR($D182="Per maand",$D182="Per week",$D182=""),$F182,IF($D182="Per jaar",IF(12=$W182,$C182,0),IF($D182="Per half jaar",IF(MOD(12-$W182,6)=0,$C182,0),IF($D182="Per kwartaal",IF(MOD(12-$W182,3)=0,$C182,0),$F182))))))</f>
        <v/>
      </c>
      <c r="W182" s="15" t="n">
        <f aca="false">IF($E182="",1,IFERROR(MATCH($E182,Lijsten!$K$6:$K$17,0),1))</f>
        <v>1</v>
      </c>
    </row>
    <row r="183" customFormat="false" ht="15" hidden="false" customHeight="false" outlineLevel="0" collapsed="false">
      <c r="A183" s="102"/>
      <c r="B183" s="102"/>
      <c r="C183" s="92"/>
      <c r="D183" s="102"/>
      <c r="E183" s="103"/>
      <c r="F183" s="104" t="str">
        <f aca="false">IF($C183="","",IF($D183="Per jaar",$C183/12,IF($D183="Per kwartaal",$C183/3,IF($D183="Per half jaar",$C183/6,IF($D183="Per week",$C183*52/12,$C183)))))</f>
        <v/>
      </c>
      <c r="G183" s="102"/>
      <c r="H183" s="103"/>
      <c r="I183" s="105"/>
      <c r="J183" s="106" t="str">
        <f aca="false">IF($C183="","",IF(Dashboard!$C$4="Gemiddeld per maand",$F183,IF(OR($D183="Per maand",$D183="Per week",$D183=""),$F183,IF($D183="Per jaar",IF(Dashboard!$N$2=$W183,$C183,0),IF($D183="Per half jaar",IF(MOD(Dashboard!$N$2-$W183,6)=0,$C183,0),IF($D183="Per kwartaal",IF(MOD(Dashboard!$N$2-$W183,3)=0,$C183,0),$F183))))))</f>
        <v/>
      </c>
      <c r="K183" s="107" t="str">
        <f aca="false">IF($C183="","",IF(Dashboard!$C$4="Gemiddeld per maand",$F183,IF(OR($D183="Per maand",$D183="Per week",$D183=""),$F183,IF($D183="Per jaar",IF(1=$W183,$C183,0),IF($D183="Per half jaar",IF(MOD(1-$W183,6)=0,$C183,0),IF($D183="Per kwartaal",IF(MOD(1-$W183,3)=0,$C183,0),$F183))))))</f>
        <v/>
      </c>
      <c r="L183" s="107" t="str">
        <f aca="false">IF($C183="","",IF(Dashboard!$C$4="Gemiddeld per maand",$F183,IF(OR($D183="Per maand",$D183="Per week",$D183=""),$F183,IF($D183="Per jaar",IF(2=$W183,$C183,0),IF($D183="Per half jaar",IF(MOD(2-$W183,6)=0,$C183,0),IF($D183="Per kwartaal",IF(MOD(2-$W183,3)=0,$C183,0),$F183))))))</f>
        <v/>
      </c>
      <c r="M183" s="107" t="str">
        <f aca="false">IF($C183="","",IF(Dashboard!$C$4="Gemiddeld per maand",$F183,IF(OR($D183="Per maand",$D183="Per week",$D183=""),$F183,IF($D183="Per jaar",IF(3=$W183,$C183,0),IF($D183="Per half jaar",IF(MOD(3-$W183,6)=0,$C183,0),IF($D183="Per kwartaal",IF(MOD(3-$W183,3)=0,$C183,0),$F183))))))</f>
        <v/>
      </c>
      <c r="N183" s="107" t="str">
        <f aca="false">IF($C183="","",IF(Dashboard!$C$4="Gemiddeld per maand",$F183,IF(OR($D183="Per maand",$D183="Per week",$D183=""),$F183,IF($D183="Per jaar",IF(4=$W183,$C183,0),IF($D183="Per half jaar",IF(MOD(4-$W183,6)=0,$C183,0),IF($D183="Per kwartaal",IF(MOD(4-$W183,3)=0,$C183,0),$F183))))))</f>
        <v/>
      </c>
      <c r="O183" s="107" t="str">
        <f aca="false">IF($C183="","",IF(Dashboard!$C$4="Gemiddeld per maand",$F183,IF(OR($D183="Per maand",$D183="Per week",$D183=""),$F183,IF($D183="Per jaar",IF(5=$W183,$C183,0),IF($D183="Per half jaar",IF(MOD(5-$W183,6)=0,$C183,0),IF($D183="Per kwartaal",IF(MOD(5-$W183,3)=0,$C183,0),$F183))))))</f>
        <v/>
      </c>
      <c r="P183" s="107" t="str">
        <f aca="false">IF($C183="","",IF(Dashboard!$C$4="Gemiddeld per maand",$F183,IF(OR($D183="Per maand",$D183="Per week",$D183=""),$F183,IF($D183="Per jaar",IF(6=$W183,$C183,0),IF($D183="Per half jaar",IF(MOD(6-$W183,6)=0,$C183,0),IF($D183="Per kwartaal",IF(MOD(6-$W183,3)=0,$C183,0),$F183))))))</f>
        <v/>
      </c>
      <c r="Q183" s="107" t="str">
        <f aca="false">IF($C183="","",IF(Dashboard!$C$4="Gemiddeld per maand",$F183,IF(OR($D183="Per maand",$D183="Per week",$D183=""),$F183,IF($D183="Per jaar",IF(7=$W183,$C183,0),IF($D183="Per half jaar",IF(MOD(7-$W183,6)=0,$C183,0),IF($D183="Per kwartaal",IF(MOD(7-$W183,3)=0,$C183,0),$F183))))))</f>
        <v/>
      </c>
      <c r="R183" s="107" t="str">
        <f aca="false">IF($C183="","",IF(Dashboard!$C$4="Gemiddeld per maand",$F183,IF(OR($D183="Per maand",$D183="Per week",$D183=""),$F183,IF($D183="Per jaar",IF(8=$W183,$C183,0),IF($D183="Per half jaar",IF(MOD(8-$W183,6)=0,$C183,0),IF($D183="Per kwartaal",IF(MOD(8-$W183,3)=0,$C183,0),$F183))))))</f>
        <v/>
      </c>
      <c r="S183" s="107" t="str">
        <f aca="false">IF($C183="","",IF(Dashboard!$C$4="Gemiddeld per maand",$F183,IF(OR($D183="Per maand",$D183="Per week",$D183=""),$F183,IF($D183="Per jaar",IF(9=$W183,$C183,0),IF($D183="Per half jaar",IF(MOD(9-$W183,6)=0,$C183,0),IF($D183="Per kwartaal",IF(MOD(9-$W183,3)=0,$C183,0),$F183))))))</f>
        <v/>
      </c>
      <c r="T183" s="107" t="str">
        <f aca="false">IF($C183="","",IF(Dashboard!$C$4="Gemiddeld per maand",$F183,IF(OR($D183="Per maand",$D183="Per week",$D183=""),$F183,IF($D183="Per jaar",IF(10=$W183,$C183,0),IF($D183="Per half jaar",IF(MOD(10-$W183,6)=0,$C183,0),IF($D183="Per kwartaal",IF(MOD(10-$W183,3)=0,$C183,0),$F183))))))</f>
        <v/>
      </c>
      <c r="U183" s="107" t="str">
        <f aca="false">IF($C183="","",IF(Dashboard!$C$4="Gemiddeld per maand",$F183,IF(OR($D183="Per maand",$D183="Per week",$D183=""),$F183,IF($D183="Per jaar",IF(11=$W183,$C183,0),IF($D183="Per half jaar",IF(MOD(11-$W183,6)=0,$C183,0),IF($D183="Per kwartaal",IF(MOD(11-$W183,3)=0,$C183,0),$F183))))))</f>
        <v/>
      </c>
      <c r="V183" s="107" t="str">
        <f aca="false">IF($C183="","",IF(Dashboard!$C$4="Gemiddeld per maand",$F183,IF(OR($D183="Per maand",$D183="Per week",$D183=""),$F183,IF($D183="Per jaar",IF(12=$W183,$C183,0),IF($D183="Per half jaar",IF(MOD(12-$W183,6)=0,$C183,0),IF($D183="Per kwartaal",IF(MOD(12-$W183,3)=0,$C183,0),$F183))))))</f>
        <v/>
      </c>
      <c r="W183" s="15" t="n">
        <f aca="false">IF($E183="",1,IFERROR(MATCH($E183,Lijsten!$K$6:$K$17,0),1))</f>
        <v>1</v>
      </c>
    </row>
    <row r="184" customFormat="false" ht="15" hidden="false" customHeight="false" outlineLevel="0" collapsed="false">
      <c r="A184" s="102"/>
      <c r="B184" s="102"/>
      <c r="C184" s="92"/>
      <c r="D184" s="102"/>
      <c r="E184" s="103"/>
      <c r="F184" s="104" t="str">
        <f aca="false">IF($C184="","",IF($D184="Per jaar",$C184/12,IF($D184="Per kwartaal",$C184/3,IF($D184="Per half jaar",$C184/6,IF($D184="Per week",$C184*52/12,$C184)))))</f>
        <v/>
      </c>
      <c r="G184" s="102"/>
      <c r="H184" s="103"/>
      <c r="I184" s="105"/>
      <c r="J184" s="106" t="str">
        <f aca="false">IF($C184="","",IF(Dashboard!$C$4="Gemiddeld per maand",$F184,IF(OR($D184="Per maand",$D184="Per week",$D184=""),$F184,IF($D184="Per jaar",IF(Dashboard!$N$2=$W184,$C184,0),IF($D184="Per half jaar",IF(MOD(Dashboard!$N$2-$W184,6)=0,$C184,0),IF($D184="Per kwartaal",IF(MOD(Dashboard!$N$2-$W184,3)=0,$C184,0),$F184))))))</f>
        <v/>
      </c>
      <c r="K184" s="107" t="str">
        <f aca="false">IF($C184="","",IF(Dashboard!$C$4="Gemiddeld per maand",$F184,IF(OR($D184="Per maand",$D184="Per week",$D184=""),$F184,IF($D184="Per jaar",IF(1=$W184,$C184,0),IF($D184="Per half jaar",IF(MOD(1-$W184,6)=0,$C184,0),IF($D184="Per kwartaal",IF(MOD(1-$W184,3)=0,$C184,0),$F184))))))</f>
        <v/>
      </c>
      <c r="L184" s="107" t="str">
        <f aca="false">IF($C184="","",IF(Dashboard!$C$4="Gemiddeld per maand",$F184,IF(OR($D184="Per maand",$D184="Per week",$D184=""),$F184,IF($D184="Per jaar",IF(2=$W184,$C184,0),IF($D184="Per half jaar",IF(MOD(2-$W184,6)=0,$C184,0),IF($D184="Per kwartaal",IF(MOD(2-$W184,3)=0,$C184,0),$F184))))))</f>
        <v/>
      </c>
      <c r="M184" s="107" t="str">
        <f aca="false">IF($C184="","",IF(Dashboard!$C$4="Gemiddeld per maand",$F184,IF(OR($D184="Per maand",$D184="Per week",$D184=""),$F184,IF($D184="Per jaar",IF(3=$W184,$C184,0),IF($D184="Per half jaar",IF(MOD(3-$W184,6)=0,$C184,0),IF($D184="Per kwartaal",IF(MOD(3-$W184,3)=0,$C184,0),$F184))))))</f>
        <v/>
      </c>
      <c r="N184" s="107" t="str">
        <f aca="false">IF($C184="","",IF(Dashboard!$C$4="Gemiddeld per maand",$F184,IF(OR($D184="Per maand",$D184="Per week",$D184=""),$F184,IF($D184="Per jaar",IF(4=$W184,$C184,0),IF($D184="Per half jaar",IF(MOD(4-$W184,6)=0,$C184,0),IF($D184="Per kwartaal",IF(MOD(4-$W184,3)=0,$C184,0),$F184))))))</f>
        <v/>
      </c>
      <c r="O184" s="107" t="str">
        <f aca="false">IF($C184="","",IF(Dashboard!$C$4="Gemiddeld per maand",$F184,IF(OR($D184="Per maand",$D184="Per week",$D184=""),$F184,IF($D184="Per jaar",IF(5=$W184,$C184,0),IF($D184="Per half jaar",IF(MOD(5-$W184,6)=0,$C184,0),IF($D184="Per kwartaal",IF(MOD(5-$W184,3)=0,$C184,0),$F184))))))</f>
        <v/>
      </c>
      <c r="P184" s="107" t="str">
        <f aca="false">IF($C184="","",IF(Dashboard!$C$4="Gemiddeld per maand",$F184,IF(OR($D184="Per maand",$D184="Per week",$D184=""),$F184,IF($D184="Per jaar",IF(6=$W184,$C184,0),IF($D184="Per half jaar",IF(MOD(6-$W184,6)=0,$C184,0),IF($D184="Per kwartaal",IF(MOD(6-$W184,3)=0,$C184,0),$F184))))))</f>
        <v/>
      </c>
      <c r="Q184" s="107" t="str">
        <f aca="false">IF($C184="","",IF(Dashboard!$C$4="Gemiddeld per maand",$F184,IF(OR($D184="Per maand",$D184="Per week",$D184=""),$F184,IF($D184="Per jaar",IF(7=$W184,$C184,0),IF($D184="Per half jaar",IF(MOD(7-$W184,6)=0,$C184,0),IF($D184="Per kwartaal",IF(MOD(7-$W184,3)=0,$C184,0),$F184))))))</f>
        <v/>
      </c>
      <c r="R184" s="107" t="str">
        <f aca="false">IF($C184="","",IF(Dashboard!$C$4="Gemiddeld per maand",$F184,IF(OR($D184="Per maand",$D184="Per week",$D184=""),$F184,IF($D184="Per jaar",IF(8=$W184,$C184,0),IF($D184="Per half jaar",IF(MOD(8-$W184,6)=0,$C184,0),IF($D184="Per kwartaal",IF(MOD(8-$W184,3)=0,$C184,0),$F184))))))</f>
        <v/>
      </c>
      <c r="S184" s="107" t="str">
        <f aca="false">IF($C184="","",IF(Dashboard!$C$4="Gemiddeld per maand",$F184,IF(OR($D184="Per maand",$D184="Per week",$D184=""),$F184,IF($D184="Per jaar",IF(9=$W184,$C184,0),IF($D184="Per half jaar",IF(MOD(9-$W184,6)=0,$C184,0),IF($D184="Per kwartaal",IF(MOD(9-$W184,3)=0,$C184,0),$F184))))))</f>
        <v/>
      </c>
      <c r="T184" s="107" t="str">
        <f aca="false">IF($C184="","",IF(Dashboard!$C$4="Gemiddeld per maand",$F184,IF(OR($D184="Per maand",$D184="Per week",$D184=""),$F184,IF($D184="Per jaar",IF(10=$W184,$C184,0),IF($D184="Per half jaar",IF(MOD(10-$W184,6)=0,$C184,0),IF($D184="Per kwartaal",IF(MOD(10-$W184,3)=0,$C184,0),$F184))))))</f>
        <v/>
      </c>
      <c r="U184" s="107" t="str">
        <f aca="false">IF($C184="","",IF(Dashboard!$C$4="Gemiddeld per maand",$F184,IF(OR($D184="Per maand",$D184="Per week",$D184=""),$F184,IF($D184="Per jaar",IF(11=$W184,$C184,0),IF($D184="Per half jaar",IF(MOD(11-$W184,6)=0,$C184,0),IF($D184="Per kwartaal",IF(MOD(11-$W184,3)=0,$C184,0),$F184))))))</f>
        <v/>
      </c>
      <c r="V184" s="107" t="str">
        <f aca="false">IF($C184="","",IF(Dashboard!$C$4="Gemiddeld per maand",$F184,IF(OR($D184="Per maand",$D184="Per week",$D184=""),$F184,IF($D184="Per jaar",IF(12=$W184,$C184,0),IF($D184="Per half jaar",IF(MOD(12-$W184,6)=0,$C184,0),IF($D184="Per kwartaal",IF(MOD(12-$W184,3)=0,$C184,0),$F184))))))</f>
        <v/>
      </c>
      <c r="W184" s="15" t="n">
        <f aca="false">IF($E184="",1,IFERROR(MATCH($E184,Lijsten!$K$6:$K$17,0),1))</f>
        <v>1</v>
      </c>
    </row>
    <row r="185" customFormat="false" ht="15" hidden="false" customHeight="false" outlineLevel="0" collapsed="false">
      <c r="A185" s="102"/>
      <c r="B185" s="102"/>
      <c r="C185" s="92"/>
      <c r="D185" s="102"/>
      <c r="E185" s="103"/>
      <c r="F185" s="104" t="str">
        <f aca="false">IF($C185="","",IF($D185="Per jaar",$C185/12,IF($D185="Per kwartaal",$C185/3,IF($D185="Per half jaar",$C185/6,IF($D185="Per week",$C185*52/12,$C185)))))</f>
        <v/>
      </c>
      <c r="G185" s="102"/>
      <c r="H185" s="103"/>
      <c r="I185" s="105"/>
      <c r="J185" s="106" t="str">
        <f aca="false">IF($C185="","",IF(Dashboard!$C$4="Gemiddeld per maand",$F185,IF(OR($D185="Per maand",$D185="Per week",$D185=""),$F185,IF($D185="Per jaar",IF(Dashboard!$N$2=$W185,$C185,0),IF($D185="Per half jaar",IF(MOD(Dashboard!$N$2-$W185,6)=0,$C185,0),IF($D185="Per kwartaal",IF(MOD(Dashboard!$N$2-$W185,3)=0,$C185,0),$F185))))))</f>
        <v/>
      </c>
      <c r="K185" s="107" t="str">
        <f aca="false">IF($C185="","",IF(Dashboard!$C$4="Gemiddeld per maand",$F185,IF(OR($D185="Per maand",$D185="Per week",$D185=""),$F185,IF($D185="Per jaar",IF(1=$W185,$C185,0),IF($D185="Per half jaar",IF(MOD(1-$W185,6)=0,$C185,0),IF($D185="Per kwartaal",IF(MOD(1-$W185,3)=0,$C185,0),$F185))))))</f>
        <v/>
      </c>
      <c r="L185" s="107" t="str">
        <f aca="false">IF($C185="","",IF(Dashboard!$C$4="Gemiddeld per maand",$F185,IF(OR($D185="Per maand",$D185="Per week",$D185=""),$F185,IF($D185="Per jaar",IF(2=$W185,$C185,0),IF($D185="Per half jaar",IF(MOD(2-$W185,6)=0,$C185,0),IF($D185="Per kwartaal",IF(MOD(2-$W185,3)=0,$C185,0),$F185))))))</f>
        <v/>
      </c>
      <c r="M185" s="107" t="str">
        <f aca="false">IF($C185="","",IF(Dashboard!$C$4="Gemiddeld per maand",$F185,IF(OR($D185="Per maand",$D185="Per week",$D185=""),$F185,IF($D185="Per jaar",IF(3=$W185,$C185,0),IF($D185="Per half jaar",IF(MOD(3-$W185,6)=0,$C185,0),IF($D185="Per kwartaal",IF(MOD(3-$W185,3)=0,$C185,0),$F185))))))</f>
        <v/>
      </c>
      <c r="N185" s="107" t="str">
        <f aca="false">IF($C185="","",IF(Dashboard!$C$4="Gemiddeld per maand",$F185,IF(OR($D185="Per maand",$D185="Per week",$D185=""),$F185,IF($D185="Per jaar",IF(4=$W185,$C185,0),IF($D185="Per half jaar",IF(MOD(4-$W185,6)=0,$C185,0),IF($D185="Per kwartaal",IF(MOD(4-$W185,3)=0,$C185,0),$F185))))))</f>
        <v/>
      </c>
      <c r="O185" s="107" t="str">
        <f aca="false">IF($C185="","",IF(Dashboard!$C$4="Gemiddeld per maand",$F185,IF(OR($D185="Per maand",$D185="Per week",$D185=""),$F185,IF($D185="Per jaar",IF(5=$W185,$C185,0),IF($D185="Per half jaar",IF(MOD(5-$W185,6)=0,$C185,0),IF($D185="Per kwartaal",IF(MOD(5-$W185,3)=0,$C185,0),$F185))))))</f>
        <v/>
      </c>
      <c r="P185" s="107" t="str">
        <f aca="false">IF($C185="","",IF(Dashboard!$C$4="Gemiddeld per maand",$F185,IF(OR($D185="Per maand",$D185="Per week",$D185=""),$F185,IF($D185="Per jaar",IF(6=$W185,$C185,0),IF($D185="Per half jaar",IF(MOD(6-$W185,6)=0,$C185,0),IF($D185="Per kwartaal",IF(MOD(6-$W185,3)=0,$C185,0),$F185))))))</f>
        <v/>
      </c>
      <c r="Q185" s="107" t="str">
        <f aca="false">IF($C185="","",IF(Dashboard!$C$4="Gemiddeld per maand",$F185,IF(OR($D185="Per maand",$D185="Per week",$D185=""),$F185,IF($D185="Per jaar",IF(7=$W185,$C185,0),IF($D185="Per half jaar",IF(MOD(7-$W185,6)=0,$C185,0),IF($D185="Per kwartaal",IF(MOD(7-$W185,3)=0,$C185,0),$F185))))))</f>
        <v/>
      </c>
      <c r="R185" s="107" t="str">
        <f aca="false">IF($C185="","",IF(Dashboard!$C$4="Gemiddeld per maand",$F185,IF(OR($D185="Per maand",$D185="Per week",$D185=""),$F185,IF($D185="Per jaar",IF(8=$W185,$C185,0),IF($D185="Per half jaar",IF(MOD(8-$W185,6)=0,$C185,0),IF($D185="Per kwartaal",IF(MOD(8-$W185,3)=0,$C185,0),$F185))))))</f>
        <v/>
      </c>
      <c r="S185" s="107" t="str">
        <f aca="false">IF($C185="","",IF(Dashboard!$C$4="Gemiddeld per maand",$F185,IF(OR($D185="Per maand",$D185="Per week",$D185=""),$F185,IF($D185="Per jaar",IF(9=$W185,$C185,0),IF($D185="Per half jaar",IF(MOD(9-$W185,6)=0,$C185,0),IF($D185="Per kwartaal",IF(MOD(9-$W185,3)=0,$C185,0),$F185))))))</f>
        <v/>
      </c>
      <c r="T185" s="107" t="str">
        <f aca="false">IF($C185="","",IF(Dashboard!$C$4="Gemiddeld per maand",$F185,IF(OR($D185="Per maand",$D185="Per week",$D185=""),$F185,IF($D185="Per jaar",IF(10=$W185,$C185,0),IF($D185="Per half jaar",IF(MOD(10-$W185,6)=0,$C185,0),IF($D185="Per kwartaal",IF(MOD(10-$W185,3)=0,$C185,0),$F185))))))</f>
        <v/>
      </c>
      <c r="U185" s="107" t="str">
        <f aca="false">IF($C185="","",IF(Dashboard!$C$4="Gemiddeld per maand",$F185,IF(OR($D185="Per maand",$D185="Per week",$D185=""),$F185,IF($D185="Per jaar",IF(11=$W185,$C185,0),IF($D185="Per half jaar",IF(MOD(11-$W185,6)=0,$C185,0),IF($D185="Per kwartaal",IF(MOD(11-$W185,3)=0,$C185,0),$F185))))))</f>
        <v/>
      </c>
      <c r="V185" s="107" t="str">
        <f aca="false">IF($C185="","",IF(Dashboard!$C$4="Gemiddeld per maand",$F185,IF(OR($D185="Per maand",$D185="Per week",$D185=""),$F185,IF($D185="Per jaar",IF(12=$W185,$C185,0),IF($D185="Per half jaar",IF(MOD(12-$W185,6)=0,$C185,0),IF($D185="Per kwartaal",IF(MOD(12-$W185,3)=0,$C185,0),$F185))))))</f>
        <v/>
      </c>
      <c r="W185" s="15" t="n">
        <f aca="false">IF($E185="",1,IFERROR(MATCH($E185,Lijsten!$K$6:$K$17,0),1))</f>
        <v>1</v>
      </c>
    </row>
    <row r="186" customFormat="false" ht="15" hidden="false" customHeight="false" outlineLevel="0" collapsed="false">
      <c r="A186" s="102"/>
      <c r="B186" s="102"/>
      <c r="C186" s="92"/>
      <c r="D186" s="102"/>
      <c r="E186" s="103"/>
      <c r="F186" s="104" t="str">
        <f aca="false">IF($C186="","",IF($D186="Per jaar",$C186/12,IF($D186="Per kwartaal",$C186/3,IF($D186="Per half jaar",$C186/6,IF($D186="Per week",$C186*52/12,$C186)))))</f>
        <v/>
      </c>
      <c r="G186" s="102"/>
      <c r="H186" s="103"/>
      <c r="I186" s="105"/>
      <c r="J186" s="106" t="str">
        <f aca="false">IF($C186="","",IF(Dashboard!$C$4="Gemiddeld per maand",$F186,IF(OR($D186="Per maand",$D186="Per week",$D186=""),$F186,IF($D186="Per jaar",IF(Dashboard!$N$2=$W186,$C186,0),IF($D186="Per half jaar",IF(MOD(Dashboard!$N$2-$W186,6)=0,$C186,0),IF($D186="Per kwartaal",IF(MOD(Dashboard!$N$2-$W186,3)=0,$C186,0),$F186))))))</f>
        <v/>
      </c>
      <c r="K186" s="107" t="str">
        <f aca="false">IF($C186="","",IF(Dashboard!$C$4="Gemiddeld per maand",$F186,IF(OR($D186="Per maand",$D186="Per week",$D186=""),$F186,IF($D186="Per jaar",IF(1=$W186,$C186,0),IF($D186="Per half jaar",IF(MOD(1-$W186,6)=0,$C186,0),IF($D186="Per kwartaal",IF(MOD(1-$W186,3)=0,$C186,0),$F186))))))</f>
        <v/>
      </c>
      <c r="L186" s="107" t="str">
        <f aca="false">IF($C186="","",IF(Dashboard!$C$4="Gemiddeld per maand",$F186,IF(OR($D186="Per maand",$D186="Per week",$D186=""),$F186,IF($D186="Per jaar",IF(2=$W186,$C186,0),IF($D186="Per half jaar",IF(MOD(2-$W186,6)=0,$C186,0),IF($D186="Per kwartaal",IF(MOD(2-$W186,3)=0,$C186,0),$F186))))))</f>
        <v/>
      </c>
      <c r="M186" s="107" t="str">
        <f aca="false">IF($C186="","",IF(Dashboard!$C$4="Gemiddeld per maand",$F186,IF(OR($D186="Per maand",$D186="Per week",$D186=""),$F186,IF($D186="Per jaar",IF(3=$W186,$C186,0),IF($D186="Per half jaar",IF(MOD(3-$W186,6)=0,$C186,0),IF($D186="Per kwartaal",IF(MOD(3-$W186,3)=0,$C186,0),$F186))))))</f>
        <v/>
      </c>
      <c r="N186" s="107" t="str">
        <f aca="false">IF($C186="","",IF(Dashboard!$C$4="Gemiddeld per maand",$F186,IF(OR($D186="Per maand",$D186="Per week",$D186=""),$F186,IF($D186="Per jaar",IF(4=$W186,$C186,0),IF($D186="Per half jaar",IF(MOD(4-$W186,6)=0,$C186,0),IF($D186="Per kwartaal",IF(MOD(4-$W186,3)=0,$C186,0),$F186))))))</f>
        <v/>
      </c>
      <c r="O186" s="107" t="str">
        <f aca="false">IF($C186="","",IF(Dashboard!$C$4="Gemiddeld per maand",$F186,IF(OR($D186="Per maand",$D186="Per week",$D186=""),$F186,IF($D186="Per jaar",IF(5=$W186,$C186,0),IF($D186="Per half jaar",IF(MOD(5-$W186,6)=0,$C186,0),IF($D186="Per kwartaal",IF(MOD(5-$W186,3)=0,$C186,0),$F186))))))</f>
        <v/>
      </c>
      <c r="P186" s="107" t="str">
        <f aca="false">IF($C186="","",IF(Dashboard!$C$4="Gemiddeld per maand",$F186,IF(OR($D186="Per maand",$D186="Per week",$D186=""),$F186,IF($D186="Per jaar",IF(6=$W186,$C186,0),IF($D186="Per half jaar",IF(MOD(6-$W186,6)=0,$C186,0),IF($D186="Per kwartaal",IF(MOD(6-$W186,3)=0,$C186,0),$F186))))))</f>
        <v/>
      </c>
      <c r="Q186" s="107" t="str">
        <f aca="false">IF($C186="","",IF(Dashboard!$C$4="Gemiddeld per maand",$F186,IF(OR($D186="Per maand",$D186="Per week",$D186=""),$F186,IF($D186="Per jaar",IF(7=$W186,$C186,0),IF($D186="Per half jaar",IF(MOD(7-$W186,6)=0,$C186,0),IF($D186="Per kwartaal",IF(MOD(7-$W186,3)=0,$C186,0),$F186))))))</f>
        <v/>
      </c>
      <c r="R186" s="107" t="str">
        <f aca="false">IF($C186="","",IF(Dashboard!$C$4="Gemiddeld per maand",$F186,IF(OR($D186="Per maand",$D186="Per week",$D186=""),$F186,IF($D186="Per jaar",IF(8=$W186,$C186,0),IF($D186="Per half jaar",IF(MOD(8-$W186,6)=0,$C186,0),IF($D186="Per kwartaal",IF(MOD(8-$W186,3)=0,$C186,0),$F186))))))</f>
        <v/>
      </c>
      <c r="S186" s="107" t="str">
        <f aca="false">IF($C186="","",IF(Dashboard!$C$4="Gemiddeld per maand",$F186,IF(OR($D186="Per maand",$D186="Per week",$D186=""),$F186,IF($D186="Per jaar",IF(9=$W186,$C186,0),IF($D186="Per half jaar",IF(MOD(9-$W186,6)=0,$C186,0),IF($D186="Per kwartaal",IF(MOD(9-$W186,3)=0,$C186,0),$F186))))))</f>
        <v/>
      </c>
      <c r="T186" s="107" t="str">
        <f aca="false">IF($C186="","",IF(Dashboard!$C$4="Gemiddeld per maand",$F186,IF(OR($D186="Per maand",$D186="Per week",$D186=""),$F186,IF($D186="Per jaar",IF(10=$W186,$C186,0),IF($D186="Per half jaar",IF(MOD(10-$W186,6)=0,$C186,0),IF($D186="Per kwartaal",IF(MOD(10-$W186,3)=0,$C186,0),$F186))))))</f>
        <v/>
      </c>
      <c r="U186" s="107" t="str">
        <f aca="false">IF($C186="","",IF(Dashboard!$C$4="Gemiddeld per maand",$F186,IF(OR($D186="Per maand",$D186="Per week",$D186=""),$F186,IF($D186="Per jaar",IF(11=$W186,$C186,0),IF($D186="Per half jaar",IF(MOD(11-$W186,6)=0,$C186,0),IF($D186="Per kwartaal",IF(MOD(11-$W186,3)=0,$C186,0),$F186))))))</f>
        <v/>
      </c>
      <c r="V186" s="107" t="str">
        <f aca="false">IF($C186="","",IF(Dashboard!$C$4="Gemiddeld per maand",$F186,IF(OR($D186="Per maand",$D186="Per week",$D186=""),$F186,IF($D186="Per jaar",IF(12=$W186,$C186,0),IF($D186="Per half jaar",IF(MOD(12-$W186,6)=0,$C186,0),IF($D186="Per kwartaal",IF(MOD(12-$W186,3)=0,$C186,0),$F186))))))</f>
        <v/>
      </c>
      <c r="W186" s="15" t="n">
        <f aca="false">IF($E186="",1,IFERROR(MATCH($E186,Lijsten!$K$6:$K$17,0),1))</f>
        <v>1</v>
      </c>
    </row>
    <row r="187" customFormat="false" ht="15" hidden="false" customHeight="false" outlineLevel="0" collapsed="false">
      <c r="A187" s="102"/>
      <c r="B187" s="102"/>
      <c r="C187" s="92"/>
      <c r="D187" s="102"/>
      <c r="E187" s="103"/>
      <c r="F187" s="104" t="str">
        <f aca="false">IF($C187="","",IF($D187="Per jaar",$C187/12,IF($D187="Per kwartaal",$C187/3,IF($D187="Per half jaar",$C187/6,IF($D187="Per week",$C187*52/12,$C187)))))</f>
        <v/>
      </c>
      <c r="G187" s="102"/>
      <c r="H187" s="103"/>
      <c r="I187" s="105"/>
      <c r="J187" s="106" t="str">
        <f aca="false">IF($C187="","",IF(Dashboard!$C$4="Gemiddeld per maand",$F187,IF(OR($D187="Per maand",$D187="Per week",$D187=""),$F187,IF($D187="Per jaar",IF(Dashboard!$N$2=$W187,$C187,0),IF($D187="Per half jaar",IF(MOD(Dashboard!$N$2-$W187,6)=0,$C187,0),IF($D187="Per kwartaal",IF(MOD(Dashboard!$N$2-$W187,3)=0,$C187,0),$F187))))))</f>
        <v/>
      </c>
      <c r="K187" s="107" t="str">
        <f aca="false">IF($C187="","",IF(Dashboard!$C$4="Gemiddeld per maand",$F187,IF(OR($D187="Per maand",$D187="Per week",$D187=""),$F187,IF($D187="Per jaar",IF(1=$W187,$C187,0),IF($D187="Per half jaar",IF(MOD(1-$W187,6)=0,$C187,0),IF($D187="Per kwartaal",IF(MOD(1-$W187,3)=0,$C187,0),$F187))))))</f>
        <v/>
      </c>
      <c r="L187" s="107" t="str">
        <f aca="false">IF($C187="","",IF(Dashboard!$C$4="Gemiddeld per maand",$F187,IF(OR($D187="Per maand",$D187="Per week",$D187=""),$F187,IF($D187="Per jaar",IF(2=$W187,$C187,0),IF($D187="Per half jaar",IF(MOD(2-$W187,6)=0,$C187,0),IF($D187="Per kwartaal",IF(MOD(2-$W187,3)=0,$C187,0),$F187))))))</f>
        <v/>
      </c>
      <c r="M187" s="107" t="str">
        <f aca="false">IF($C187="","",IF(Dashboard!$C$4="Gemiddeld per maand",$F187,IF(OR($D187="Per maand",$D187="Per week",$D187=""),$F187,IF($D187="Per jaar",IF(3=$W187,$C187,0),IF($D187="Per half jaar",IF(MOD(3-$W187,6)=0,$C187,0),IF($D187="Per kwartaal",IF(MOD(3-$W187,3)=0,$C187,0),$F187))))))</f>
        <v/>
      </c>
      <c r="N187" s="107" t="str">
        <f aca="false">IF($C187="","",IF(Dashboard!$C$4="Gemiddeld per maand",$F187,IF(OR($D187="Per maand",$D187="Per week",$D187=""),$F187,IF($D187="Per jaar",IF(4=$W187,$C187,0),IF($D187="Per half jaar",IF(MOD(4-$W187,6)=0,$C187,0),IF($D187="Per kwartaal",IF(MOD(4-$W187,3)=0,$C187,0),$F187))))))</f>
        <v/>
      </c>
      <c r="O187" s="107" t="str">
        <f aca="false">IF($C187="","",IF(Dashboard!$C$4="Gemiddeld per maand",$F187,IF(OR($D187="Per maand",$D187="Per week",$D187=""),$F187,IF($D187="Per jaar",IF(5=$W187,$C187,0),IF($D187="Per half jaar",IF(MOD(5-$W187,6)=0,$C187,0),IF($D187="Per kwartaal",IF(MOD(5-$W187,3)=0,$C187,0),$F187))))))</f>
        <v/>
      </c>
      <c r="P187" s="107" t="str">
        <f aca="false">IF($C187="","",IF(Dashboard!$C$4="Gemiddeld per maand",$F187,IF(OR($D187="Per maand",$D187="Per week",$D187=""),$F187,IF($D187="Per jaar",IF(6=$W187,$C187,0),IF($D187="Per half jaar",IF(MOD(6-$W187,6)=0,$C187,0),IF($D187="Per kwartaal",IF(MOD(6-$W187,3)=0,$C187,0),$F187))))))</f>
        <v/>
      </c>
      <c r="Q187" s="107" t="str">
        <f aca="false">IF($C187="","",IF(Dashboard!$C$4="Gemiddeld per maand",$F187,IF(OR($D187="Per maand",$D187="Per week",$D187=""),$F187,IF($D187="Per jaar",IF(7=$W187,$C187,0),IF($D187="Per half jaar",IF(MOD(7-$W187,6)=0,$C187,0),IF($D187="Per kwartaal",IF(MOD(7-$W187,3)=0,$C187,0),$F187))))))</f>
        <v/>
      </c>
      <c r="R187" s="107" t="str">
        <f aca="false">IF($C187="","",IF(Dashboard!$C$4="Gemiddeld per maand",$F187,IF(OR($D187="Per maand",$D187="Per week",$D187=""),$F187,IF($D187="Per jaar",IF(8=$W187,$C187,0),IF($D187="Per half jaar",IF(MOD(8-$W187,6)=0,$C187,0),IF($D187="Per kwartaal",IF(MOD(8-$W187,3)=0,$C187,0),$F187))))))</f>
        <v/>
      </c>
      <c r="S187" s="107" t="str">
        <f aca="false">IF($C187="","",IF(Dashboard!$C$4="Gemiddeld per maand",$F187,IF(OR($D187="Per maand",$D187="Per week",$D187=""),$F187,IF($D187="Per jaar",IF(9=$W187,$C187,0),IF($D187="Per half jaar",IF(MOD(9-$W187,6)=0,$C187,0),IF($D187="Per kwartaal",IF(MOD(9-$W187,3)=0,$C187,0),$F187))))))</f>
        <v/>
      </c>
      <c r="T187" s="107" t="str">
        <f aca="false">IF($C187="","",IF(Dashboard!$C$4="Gemiddeld per maand",$F187,IF(OR($D187="Per maand",$D187="Per week",$D187=""),$F187,IF($D187="Per jaar",IF(10=$W187,$C187,0),IF($D187="Per half jaar",IF(MOD(10-$W187,6)=0,$C187,0),IF($D187="Per kwartaal",IF(MOD(10-$W187,3)=0,$C187,0),$F187))))))</f>
        <v/>
      </c>
      <c r="U187" s="107" t="str">
        <f aca="false">IF($C187="","",IF(Dashboard!$C$4="Gemiddeld per maand",$F187,IF(OR($D187="Per maand",$D187="Per week",$D187=""),$F187,IF($D187="Per jaar",IF(11=$W187,$C187,0),IF($D187="Per half jaar",IF(MOD(11-$W187,6)=0,$C187,0),IF($D187="Per kwartaal",IF(MOD(11-$W187,3)=0,$C187,0),$F187))))))</f>
        <v/>
      </c>
      <c r="V187" s="107" t="str">
        <f aca="false">IF($C187="","",IF(Dashboard!$C$4="Gemiddeld per maand",$F187,IF(OR($D187="Per maand",$D187="Per week",$D187=""),$F187,IF($D187="Per jaar",IF(12=$W187,$C187,0),IF($D187="Per half jaar",IF(MOD(12-$W187,6)=0,$C187,0),IF($D187="Per kwartaal",IF(MOD(12-$W187,3)=0,$C187,0),$F187))))))</f>
        <v/>
      </c>
      <c r="W187" s="15" t="n">
        <f aca="false">IF($E187="",1,IFERROR(MATCH($E187,Lijsten!$K$6:$K$17,0),1))</f>
        <v>1</v>
      </c>
    </row>
    <row r="188" customFormat="false" ht="15" hidden="false" customHeight="false" outlineLevel="0" collapsed="false">
      <c r="A188" s="102"/>
      <c r="B188" s="102"/>
      <c r="C188" s="92"/>
      <c r="D188" s="102"/>
      <c r="E188" s="103"/>
      <c r="F188" s="104" t="str">
        <f aca="false">IF($C188="","",IF($D188="Per jaar",$C188/12,IF($D188="Per kwartaal",$C188/3,IF($D188="Per half jaar",$C188/6,IF($D188="Per week",$C188*52/12,$C188)))))</f>
        <v/>
      </c>
      <c r="G188" s="102"/>
      <c r="H188" s="103"/>
      <c r="I188" s="105"/>
      <c r="J188" s="106" t="str">
        <f aca="false">IF($C188="","",IF(Dashboard!$C$4="Gemiddeld per maand",$F188,IF(OR($D188="Per maand",$D188="Per week",$D188=""),$F188,IF($D188="Per jaar",IF(Dashboard!$N$2=$W188,$C188,0),IF($D188="Per half jaar",IF(MOD(Dashboard!$N$2-$W188,6)=0,$C188,0),IF($D188="Per kwartaal",IF(MOD(Dashboard!$N$2-$W188,3)=0,$C188,0),$F188))))))</f>
        <v/>
      </c>
      <c r="K188" s="107" t="str">
        <f aca="false">IF($C188="","",IF(Dashboard!$C$4="Gemiddeld per maand",$F188,IF(OR($D188="Per maand",$D188="Per week",$D188=""),$F188,IF($D188="Per jaar",IF(1=$W188,$C188,0),IF($D188="Per half jaar",IF(MOD(1-$W188,6)=0,$C188,0),IF($D188="Per kwartaal",IF(MOD(1-$W188,3)=0,$C188,0),$F188))))))</f>
        <v/>
      </c>
      <c r="L188" s="107" t="str">
        <f aca="false">IF($C188="","",IF(Dashboard!$C$4="Gemiddeld per maand",$F188,IF(OR($D188="Per maand",$D188="Per week",$D188=""),$F188,IF($D188="Per jaar",IF(2=$W188,$C188,0),IF($D188="Per half jaar",IF(MOD(2-$W188,6)=0,$C188,0),IF($D188="Per kwartaal",IF(MOD(2-$W188,3)=0,$C188,0),$F188))))))</f>
        <v/>
      </c>
      <c r="M188" s="107" t="str">
        <f aca="false">IF($C188="","",IF(Dashboard!$C$4="Gemiddeld per maand",$F188,IF(OR($D188="Per maand",$D188="Per week",$D188=""),$F188,IF($D188="Per jaar",IF(3=$W188,$C188,0),IF($D188="Per half jaar",IF(MOD(3-$W188,6)=0,$C188,0),IF($D188="Per kwartaal",IF(MOD(3-$W188,3)=0,$C188,0),$F188))))))</f>
        <v/>
      </c>
      <c r="N188" s="107" t="str">
        <f aca="false">IF($C188="","",IF(Dashboard!$C$4="Gemiddeld per maand",$F188,IF(OR($D188="Per maand",$D188="Per week",$D188=""),$F188,IF($D188="Per jaar",IF(4=$W188,$C188,0),IF($D188="Per half jaar",IF(MOD(4-$W188,6)=0,$C188,0),IF($D188="Per kwartaal",IF(MOD(4-$W188,3)=0,$C188,0),$F188))))))</f>
        <v/>
      </c>
      <c r="O188" s="107" t="str">
        <f aca="false">IF($C188="","",IF(Dashboard!$C$4="Gemiddeld per maand",$F188,IF(OR($D188="Per maand",$D188="Per week",$D188=""),$F188,IF($D188="Per jaar",IF(5=$W188,$C188,0),IF($D188="Per half jaar",IF(MOD(5-$W188,6)=0,$C188,0),IF($D188="Per kwartaal",IF(MOD(5-$W188,3)=0,$C188,0),$F188))))))</f>
        <v/>
      </c>
      <c r="P188" s="107" t="str">
        <f aca="false">IF($C188="","",IF(Dashboard!$C$4="Gemiddeld per maand",$F188,IF(OR($D188="Per maand",$D188="Per week",$D188=""),$F188,IF($D188="Per jaar",IF(6=$W188,$C188,0),IF($D188="Per half jaar",IF(MOD(6-$W188,6)=0,$C188,0),IF($D188="Per kwartaal",IF(MOD(6-$W188,3)=0,$C188,0),$F188))))))</f>
        <v/>
      </c>
      <c r="Q188" s="107" t="str">
        <f aca="false">IF($C188="","",IF(Dashboard!$C$4="Gemiddeld per maand",$F188,IF(OR($D188="Per maand",$D188="Per week",$D188=""),$F188,IF($D188="Per jaar",IF(7=$W188,$C188,0),IF($D188="Per half jaar",IF(MOD(7-$W188,6)=0,$C188,0),IF($D188="Per kwartaal",IF(MOD(7-$W188,3)=0,$C188,0),$F188))))))</f>
        <v/>
      </c>
      <c r="R188" s="107" t="str">
        <f aca="false">IF($C188="","",IF(Dashboard!$C$4="Gemiddeld per maand",$F188,IF(OR($D188="Per maand",$D188="Per week",$D188=""),$F188,IF($D188="Per jaar",IF(8=$W188,$C188,0),IF($D188="Per half jaar",IF(MOD(8-$W188,6)=0,$C188,0),IF($D188="Per kwartaal",IF(MOD(8-$W188,3)=0,$C188,0),$F188))))))</f>
        <v/>
      </c>
      <c r="S188" s="107" t="str">
        <f aca="false">IF($C188="","",IF(Dashboard!$C$4="Gemiddeld per maand",$F188,IF(OR($D188="Per maand",$D188="Per week",$D188=""),$F188,IF($D188="Per jaar",IF(9=$W188,$C188,0),IF($D188="Per half jaar",IF(MOD(9-$W188,6)=0,$C188,0),IF($D188="Per kwartaal",IF(MOD(9-$W188,3)=0,$C188,0),$F188))))))</f>
        <v/>
      </c>
      <c r="T188" s="107" t="str">
        <f aca="false">IF($C188="","",IF(Dashboard!$C$4="Gemiddeld per maand",$F188,IF(OR($D188="Per maand",$D188="Per week",$D188=""),$F188,IF($D188="Per jaar",IF(10=$W188,$C188,0),IF($D188="Per half jaar",IF(MOD(10-$W188,6)=0,$C188,0),IF($D188="Per kwartaal",IF(MOD(10-$W188,3)=0,$C188,0),$F188))))))</f>
        <v/>
      </c>
      <c r="U188" s="107" t="str">
        <f aca="false">IF($C188="","",IF(Dashboard!$C$4="Gemiddeld per maand",$F188,IF(OR($D188="Per maand",$D188="Per week",$D188=""),$F188,IF($D188="Per jaar",IF(11=$W188,$C188,0),IF($D188="Per half jaar",IF(MOD(11-$W188,6)=0,$C188,0),IF($D188="Per kwartaal",IF(MOD(11-$W188,3)=0,$C188,0),$F188))))))</f>
        <v/>
      </c>
      <c r="V188" s="107" t="str">
        <f aca="false">IF($C188="","",IF(Dashboard!$C$4="Gemiddeld per maand",$F188,IF(OR($D188="Per maand",$D188="Per week",$D188=""),$F188,IF($D188="Per jaar",IF(12=$W188,$C188,0),IF($D188="Per half jaar",IF(MOD(12-$W188,6)=0,$C188,0),IF($D188="Per kwartaal",IF(MOD(12-$W188,3)=0,$C188,0),$F188))))))</f>
        <v/>
      </c>
      <c r="W188" s="15" t="n">
        <f aca="false">IF($E188="",1,IFERROR(MATCH($E188,Lijsten!$K$6:$K$17,0),1))</f>
        <v>1</v>
      </c>
    </row>
    <row r="189" customFormat="false" ht="15" hidden="false" customHeight="false" outlineLevel="0" collapsed="false">
      <c r="A189" s="102"/>
      <c r="B189" s="102"/>
      <c r="C189" s="92"/>
      <c r="D189" s="102"/>
      <c r="E189" s="103"/>
      <c r="F189" s="104" t="str">
        <f aca="false">IF($C189="","",IF($D189="Per jaar",$C189/12,IF($D189="Per kwartaal",$C189/3,IF($D189="Per half jaar",$C189/6,IF($D189="Per week",$C189*52/12,$C189)))))</f>
        <v/>
      </c>
      <c r="G189" s="102"/>
      <c r="H189" s="103"/>
      <c r="I189" s="105"/>
      <c r="J189" s="106" t="str">
        <f aca="false">IF($C189="","",IF(Dashboard!$C$4="Gemiddeld per maand",$F189,IF(OR($D189="Per maand",$D189="Per week",$D189=""),$F189,IF($D189="Per jaar",IF(Dashboard!$N$2=$W189,$C189,0),IF($D189="Per half jaar",IF(MOD(Dashboard!$N$2-$W189,6)=0,$C189,0),IF($D189="Per kwartaal",IF(MOD(Dashboard!$N$2-$W189,3)=0,$C189,0),$F189))))))</f>
        <v/>
      </c>
      <c r="K189" s="107" t="str">
        <f aca="false">IF($C189="","",IF(Dashboard!$C$4="Gemiddeld per maand",$F189,IF(OR($D189="Per maand",$D189="Per week",$D189=""),$F189,IF($D189="Per jaar",IF(1=$W189,$C189,0),IF($D189="Per half jaar",IF(MOD(1-$W189,6)=0,$C189,0),IF($D189="Per kwartaal",IF(MOD(1-$W189,3)=0,$C189,0),$F189))))))</f>
        <v/>
      </c>
      <c r="L189" s="107" t="str">
        <f aca="false">IF($C189="","",IF(Dashboard!$C$4="Gemiddeld per maand",$F189,IF(OR($D189="Per maand",$D189="Per week",$D189=""),$F189,IF($D189="Per jaar",IF(2=$W189,$C189,0),IF($D189="Per half jaar",IF(MOD(2-$W189,6)=0,$C189,0),IF($D189="Per kwartaal",IF(MOD(2-$W189,3)=0,$C189,0),$F189))))))</f>
        <v/>
      </c>
      <c r="M189" s="107" t="str">
        <f aca="false">IF($C189="","",IF(Dashboard!$C$4="Gemiddeld per maand",$F189,IF(OR($D189="Per maand",$D189="Per week",$D189=""),$F189,IF($D189="Per jaar",IF(3=$W189,$C189,0),IF($D189="Per half jaar",IF(MOD(3-$W189,6)=0,$C189,0),IF($D189="Per kwartaal",IF(MOD(3-$W189,3)=0,$C189,0),$F189))))))</f>
        <v/>
      </c>
      <c r="N189" s="107" t="str">
        <f aca="false">IF($C189="","",IF(Dashboard!$C$4="Gemiddeld per maand",$F189,IF(OR($D189="Per maand",$D189="Per week",$D189=""),$F189,IF($D189="Per jaar",IF(4=$W189,$C189,0),IF($D189="Per half jaar",IF(MOD(4-$W189,6)=0,$C189,0),IF($D189="Per kwartaal",IF(MOD(4-$W189,3)=0,$C189,0),$F189))))))</f>
        <v/>
      </c>
      <c r="O189" s="107" t="str">
        <f aca="false">IF($C189="","",IF(Dashboard!$C$4="Gemiddeld per maand",$F189,IF(OR($D189="Per maand",$D189="Per week",$D189=""),$F189,IF($D189="Per jaar",IF(5=$W189,$C189,0),IF($D189="Per half jaar",IF(MOD(5-$W189,6)=0,$C189,0),IF($D189="Per kwartaal",IF(MOD(5-$W189,3)=0,$C189,0),$F189))))))</f>
        <v/>
      </c>
      <c r="P189" s="107" t="str">
        <f aca="false">IF($C189="","",IF(Dashboard!$C$4="Gemiddeld per maand",$F189,IF(OR($D189="Per maand",$D189="Per week",$D189=""),$F189,IF($D189="Per jaar",IF(6=$W189,$C189,0),IF($D189="Per half jaar",IF(MOD(6-$W189,6)=0,$C189,0),IF($D189="Per kwartaal",IF(MOD(6-$W189,3)=0,$C189,0),$F189))))))</f>
        <v/>
      </c>
      <c r="Q189" s="107" t="str">
        <f aca="false">IF($C189="","",IF(Dashboard!$C$4="Gemiddeld per maand",$F189,IF(OR($D189="Per maand",$D189="Per week",$D189=""),$F189,IF($D189="Per jaar",IF(7=$W189,$C189,0),IF($D189="Per half jaar",IF(MOD(7-$W189,6)=0,$C189,0),IF($D189="Per kwartaal",IF(MOD(7-$W189,3)=0,$C189,0),$F189))))))</f>
        <v/>
      </c>
      <c r="R189" s="107" t="str">
        <f aca="false">IF($C189="","",IF(Dashboard!$C$4="Gemiddeld per maand",$F189,IF(OR($D189="Per maand",$D189="Per week",$D189=""),$F189,IF($D189="Per jaar",IF(8=$W189,$C189,0),IF($D189="Per half jaar",IF(MOD(8-$W189,6)=0,$C189,0),IF($D189="Per kwartaal",IF(MOD(8-$W189,3)=0,$C189,0),$F189))))))</f>
        <v/>
      </c>
      <c r="S189" s="107" t="str">
        <f aca="false">IF($C189="","",IF(Dashboard!$C$4="Gemiddeld per maand",$F189,IF(OR($D189="Per maand",$D189="Per week",$D189=""),$F189,IF($D189="Per jaar",IF(9=$W189,$C189,0),IF($D189="Per half jaar",IF(MOD(9-$W189,6)=0,$C189,0),IF($D189="Per kwartaal",IF(MOD(9-$W189,3)=0,$C189,0),$F189))))))</f>
        <v/>
      </c>
      <c r="T189" s="107" t="str">
        <f aca="false">IF($C189="","",IF(Dashboard!$C$4="Gemiddeld per maand",$F189,IF(OR($D189="Per maand",$D189="Per week",$D189=""),$F189,IF($D189="Per jaar",IF(10=$W189,$C189,0),IF($D189="Per half jaar",IF(MOD(10-$W189,6)=0,$C189,0),IF($D189="Per kwartaal",IF(MOD(10-$W189,3)=0,$C189,0),$F189))))))</f>
        <v/>
      </c>
      <c r="U189" s="107" t="str">
        <f aca="false">IF($C189="","",IF(Dashboard!$C$4="Gemiddeld per maand",$F189,IF(OR($D189="Per maand",$D189="Per week",$D189=""),$F189,IF($D189="Per jaar",IF(11=$W189,$C189,0),IF($D189="Per half jaar",IF(MOD(11-$W189,6)=0,$C189,0),IF($D189="Per kwartaal",IF(MOD(11-$W189,3)=0,$C189,0),$F189))))))</f>
        <v/>
      </c>
      <c r="V189" s="107" t="str">
        <f aca="false">IF($C189="","",IF(Dashboard!$C$4="Gemiddeld per maand",$F189,IF(OR($D189="Per maand",$D189="Per week",$D189=""),$F189,IF($D189="Per jaar",IF(12=$W189,$C189,0),IF($D189="Per half jaar",IF(MOD(12-$W189,6)=0,$C189,0),IF($D189="Per kwartaal",IF(MOD(12-$W189,3)=0,$C189,0),$F189))))))</f>
        <v/>
      </c>
      <c r="W189" s="15" t="n">
        <f aca="false">IF($E189="",1,IFERROR(MATCH($E189,Lijsten!$K$6:$K$17,0),1))</f>
        <v>1</v>
      </c>
    </row>
    <row r="190" customFormat="false" ht="15" hidden="false" customHeight="false" outlineLevel="0" collapsed="false">
      <c r="A190" s="102"/>
      <c r="B190" s="102"/>
      <c r="C190" s="92"/>
      <c r="D190" s="102"/>
      <c r="E190" s="103"/>
      <c r="F190" s="104" t="str">
        <f aca="false">IF($C190="","",IF($D190="Per jaar",$C190/12,IF($D190="Per kwartaal",$C190/3,IF($D190="Per half jaar",$C190/6,IF($D190="Per week",$C190*52/12,$C190)))))</f>
        <v/>
      </c>
      <c r="G190" s="102"/>
      <c r="H190" s="103"/>
      <c r="I190" s="105"/>
      <c r="J190" s="106" t="str">
        <f aca="false">IF($C190="","",IF(Dashboard!$C$4="Gemiddeld per maand",$F190,IF(OR($D190="Per maand",$D190="Per week",$D190=""),$F190,IF($D190="Per jaar",IF(Dashboard!$N$2=$W190,$C190,0),IF($D190="Per half jaar",IF(MOD(Dashboard!$N$2-$W190,6)=0,$C190,0),IF($D190="Per kwartaal",IF(MOD(Dashboard!$N$2-$W190,3)=0,$C190,0),$F190))))))</f>
        <v/>
      </c>
      <c r="K190" s="107" t="str">
        <f aca="false">IF($C190="","",IF(Dashboard!$C$4="Gemiddeld per maand",$F190,IF(OR($D190="Per maand",$D190="Per week",$D190=""),$F190,IF($D190="Per jaar",IF(1=$W190,$C190,0),IF($D190="Per half jaar",IF(MOD(1-$W190,6)=0,$C190,0),IF($D190="Per kwartaal",IF(MOD(1-$W190,3)=0,$C190,0),$F190))))))</f>
        <v/>
      </c>
      <c r="L190" s="107" t="str">
        <f aca="false">IF($C190="","",IF(Dashboard!$C$4="Gemiddeld per maand",$F190,IF(OR($D190="Per maand",$D190="Per week",$D190=""),$F190,IF($D190="Per jaar",IF(2=$W190,$C190,0),IF($D190="Per half jaar",IF(MOD(2-$W190,6)=0,$C190,0),IF($D190="Per kwartaal",IF(MOD(2-$W190,3)=0,$C190,0),$F190))))))</f>
        <v/>
      </c>
      <c r="M190" s="107" t="str">
        <f aca="false">IF($C190="","",IF(Dashboard!$C$4="Gemiddeld per maand",$F190,IF(OR($D190="Per maand",$D190="Per week",$D190=""),$F190,IF($D190="Per jaar",IF(3=$W190,$C190,0),IF($D190="Per half jaar",IF(MOD(3-$W190,6)=0,$C190,0),IF($D190="Per kwartaal",IF(MOD(3-$W190,3)=0,$C190,0),$F190))))))</f>
        <v/>
      </c>
      <c r="N190" s="107" t="str">
        <f aca="false">IF($C190="","",IF(Dashboard!$C$4="Gemiddeld per maand",$F190,IF(OR($D190="Per maand",$D190="Per week",$D190=""),$F190,IF($D190="Per jaar",IF(4=$W190,$C190,0),IF($D190="Per half jaar",IF(MOD(4-$W190,6)=0,$C190,0),IF($D190="Per kwartaal",IF(MOD(4-$W190,3)=0,$C190,0),$F190))))))</f>
        <v/>
      </c>
      <c r="O190" s="107" t="str">
        <f aca="false">IF($C190="","",IF(Dashboard!$C$4="Gemiddeld per maand",$F190,IF(OR($D190="Per maand",$D190="Per week",$D190=""),$F190,IF($D190="Per jaar",IF(5=$W190,$C190,0),IF($D190="Per half jaar",IF(MOD(5-$W190,6)=0,$C190,0),IF($D190="Per kwartaal",IF(MOD(5-$W190,3)=0,$C190,0),$F190))))))</f>
        <v/>
      </c>
      <c r="P190" s="107" t="str">
        <f aca="false">IF($C190="","",IF(Dashboard!$C$4="Gemiddeld per maand",$F190,IF(OR($D190="Per maand",$D190="Per week",$D190=""),$F190,IF($D190="Per jaar",IF(6=$W190,$C190,0),IF($D190="Per half jaar",IF(MOD(6-$W190,6)=0,$C190,0),IF($D190="Per kwartaal",IF(MOD(6-$W190,3)=0,$C190,0),$F190))))))</f>
        <v/>
      </c>
      <c r="Q190" s="107" t="str">
        <f aca="false">IF($C190="","",IF(Dashboard!$C$4="Gemiddeld per maand",$F190,IF(OR($D190="Per maand",$D190="Per week",$D190=""),$F190,IF($D190="Per jaar",IF(7=$W190,$C190,0),IF($D190="Per half jaar",IF(MOD(7-$W190,6)=0,$C190,0),IF($D190="Per kwartaal",IF(MOD(7-$W190,3)=0,$C190,0),$F190))))))</f>
        <v/>
      </c>
      <c r="R190" s="107" t="str">
        <f aca="false">IF($C190="","",IF(Dashboard!$C$4="Gemiddeld per maand",$F190,IF(OR($D190="Per maand",$D190="Per week",$D190=""),$F190,IF($D190="Per jaar",IF(8=$W190,$C190,0),IF($D190="Per half jaar",IF(MOD(8-$W190,6)=0,$C190,0),IF($D190="Per kwartaal",IF(MOD(8-$W190,3)=0,$C190,0),$F190))))))</f>
        <v/>
      </c>
      <c r="S190" s="107" t="str">
        <f aca="false">IF($C190="","",IF(Dashboard!$C$4="Gemiddeld per maand",$F190,IF(OR($D190="Per maand",$D190="Per week",$D190=""),$F190,IF($D190="Per jaar",IF(9=$W190,$C190,0),IF($D190="Per half jaar",IF(MOD(9-$W190,6)=0,$C190,0),IF($D190="Per kwartaal",IF(MOD(9-$W190,3)=0,$C190,0),$F190))))))</f>
        <v/>
      </c>
      <c r="T190" s="107" t="str">
        <f aca="false">IF($C190="","",IF(Dashboard!$C$4="Gemiddeld per maand",$F190,IF(OR($D190="Per maand",$D190="Per week",$D190=""),$F190,IF($D190="Per jaar",IF(10=$W190,$C190,0),IF($D190="Per half jaar",IF(MOD(10-$W190,6)=0,$C190,0),IF($D190="Per kwartaal",IF(MOD(10-$W190,3)=0,$C190,0),$F190))))))</f>
        <v/>
      </c>
      <c r="U190" s="107" t="str">
        <f aca="false">IF($C190="","",IF(Dashboard!$C$4="Gemiddeld per maand",$F190,IF(OR($D190="Per maand",$D190="Per week",$D190=""),$F190,IF($D190="Per jaar",IF(11=$W190,$C190,0),IF($D190="Per half jaar",IF(MOD(11-$W190,6)=0,$C190,0),IF($D190="Per kwartaal",IF(MOD(11-$W190,3)=0,$C190,0),$F190))))))</f>
        <v/>
      </c>
      <c r="V190" s="107" t="str">
        <f aca="false">IF($C190="","",IF(Dashboard!$C$4="Gemiddeld per maand",$F190,IF(OR($D190="Per maand",$D190="Per week",$D190=""),$F190,IF($D190="Per jaar",IF(12=$W190,$C190,0),IF($D190="Per half jaar",IF(MOD(12-$W190,6)=0,$C190,0),IF($D190="Per kwartaal",IF(MOD(12-$W190,3)=0,$C190,0),$F190))))))</f>
        <v/>
      </c>
      <c r="W190" s="15" t="n">
        <f aca="false">IF($E190="",1,IFERROR(MATCH($E190,Lijsten!$K$6:$K$17,0),1))</f>
        <v>1</v>
      </c>
    </row>
    <row r="191" customFormat="false" ht="15" hidden="false" customHeight="false" outlineLevel="0" collapsed="false">
      <c r="A191" s="102"/>
      <c r="B191" s="102"/>
      <c r="C191" s="92"/>
      <c r="D191" s="102"/>
      <c r="E191" s="103"/>
      <c r="F191" s="104" t="str">
        <f aca="false">IF($C191="","",IF($D191="Per jaar",$C191/12,IF($D191="Per kwartaal",$C191/3,IF($D191="Per half jaar",$C191/6,IF($D191="Per week",$C191*52/12,$C191)))))</f>
        <v/>
      </c>
      <c r="G191" s="102"/>
      <c r="H191" s="103"/>
      <c r="I191" s="105"/>
      <c r="J191" s="106" t="str">
        <f aca="false">IF($C191="","",IF(Dashboard!$C$4="Gemiddeld per maand",$F191,IF(OR($D191="Per maand",$D191="Per week",$D191=""),$F191,IF($D191="Per jaar",IF(Dashboard!$N$2=$W191,$C191,0),IF($D191="Per half jaar",IF(MOD(Dashboard!$N$2-$W191,6)=0,$C191,0),IF($D191="Per kwartaal",IF(MOD(Dashboard!$N$2-$W191,3)=0,$C191,0),$F191))))))</f>
        <v/>
      </c>
      <c r="K191" s="107" t="str">
        <f aca="false">IF($C191="","",IF(Dashboard!$C$4="Gemiddeld per maand",$F191,IF(OR($D191="Per maand",$D191="Per week",$D191=""),$F191,IF($D191="Per jaar",IF(1=$W191,$C191,0),IF($D191="Per half jaar",IF(MOD(1-$W191,6)=0,$C191,0),IF($D191="Per kwartaal",IF(MOD(1-$W191,3)=0,$C191,0),$F191))))))</f>
        <v/>
      </c>
      <c r="L191" s="107" t="str">
        <f aca="false">IF($C191="","",IF(Dashboard!$C$4="Gemiddeld per maand",$F191,IF(OR($D191="Per maand",$D191="Per week",$D191=""),$F191,IF($D191="Per jaar",IF(2=$W191,$C191,0),IF($D191="Per half jaar",IF(MOD(2-$W191,6)=0,$C191,0),IF($D191="Per kwartaal",IF(MOD(2-$W191,3)=0,$C191,0),$F191))))))</f>
        <v/>
      </c>
      <c r="M191" s="107" t="str">
        <f aca="false">IF($C191="","",IF(Dashboard!$C$4="Gemiddeld per maand",$F191,IF(OR($D191="Per maand",$D191="Per week",$D191=""),$F191,IF($D191="Per jaar",IF(3=$W191,$C191,0),IF($D191="Per half jaar",IF(MOD(3-$W191,6)=0,$C191,0),IF($D191="Per kwartaal",IF(MOD(3-$W191,3)=0,$C191,0),$F191))))))</f>
        <v/>
      </c>
      <c r="N191" s="107" t="str">
        <f aca="false">IF($C191="","",IF(Dashboard!$C$4="Gemiddeld per maand",$F191,IF(OR($D191="Per maand",$D191="Per week",$D191=""),$F191,IF($D191="Per jaar",IF(4=$W191,$C191,0),IF($D191="Per half jaar",IF(MOD(4-$W191,6)=0,$C191,0),IF($D191="Per kwartaal",IF(MOD(4-$W191,3)=0,$C191,0),$F191))))))</f>
        <v/>
      </c>
      <c r="O191" s="107" t="str">
        <f aca="false">IF($C191="","",IF(Dashboard!$C$4="Gemiddeld per maand",$F191,IF(OR($D191="Per maand",$D191="Per week",$D191=""),$F191,IF($D191="Per jaar",IF(5=$W191,$C191,0),IF($D191="Per half jaar",IF(MOD(5-$W191,6)=0,$C191,0),IF($D191="Per kwartaal",IF(MOD(5-$W191,3)=0,$C191,0),$F191))))))</f>
        <v/>
      </c>
      <c r="P191" s="107" t="str">
        <f aca="false">IF($C191="","",IF(Dashboard!$C$4="Gemiddeld per maand",$F191,IF(OR($D191="Per maand",$D191="Per week",$D191=""),$F191,IF($D191="Per jaar",IF(6=$W191,$C191,0),IF($D191="Per half jaar",IF(MOD(6-$W191,6)=0,$C191,0),IF($D191="Per kwartaal",IF(MOD(6-$W191,3)=0,$C191,0),$F191))))))</f>
        <v/>
      </c>
      <c r="Q191" s="107" t="str">
        <f aca="false">IF($C191="","",IF(Dashboard!$C$4="Gemiddeld per maand",$F191,IF(OR($D191="Per maand",$D191="Per week",$D191=""),$F191,IF($D191="Per jaar",IF(7=$W191,$C191,0),IF($D191="Per half jaar",IF(MOD(7-$W191,6)=0,$C191,0),IF($D191="Per kwartaal",IF(MOD(7-$W191,3)=0,$C191,0),$F191))))))</f>
        <v/>
      </c>
      <c r="R191" s="107" t="str">
        <f aca="false">IF($C191="","",IF(Dashboard!$C$4="Gemiddeld per maand",$F191,IF(OR($D191="Per maand",$D191="Per week",$D191=""),$F191,IF($D191="Per jaar",IF(8=$W191,$C191,0),IF($D191="Per half jaar",IF(MOD(8-$W191,6)=0,$C191,0),IF($D191="Per kwartaal",IF(MOD(8-$W191,3)=0,$C191,0),$F191))))))</f>
        <v/>
      </c>
      <c r="S191" s="107" t="str">
        <f aca="false">IF($C191="","",IF(Dashboard!$C$4="Gemiddeld per maand",$F191,IF(OR($D191="Per maand",$D191="Per week",$D191=""),$F191,IF($D191="Per jaar",IF(9=$W191,$C191,0),IF($D191="Per half jaar",IF(MOD(9-$W191,6)=0,$C191,0),IF($D191="Per kwartaal",IF(MOD(9-$W191,3)=0,$C191,0),$F191))))))</f>
        <v/>
      </c>
      <c r="T191" s="107" t="str">
        <f aca="false">IF($C191="","",IF(Dashboard!$C$4="Gemiddeld per maand",$F191,IF(OR($D191="Per maand",$D191="Per week",$D191=""),$F191,IF($D191="Per jaar",IF(10=$W191,$C191,0),IF($D191="Per half jaar",IF(MOD(10-$W191,6)=0,$C191,0),IF($D191="Per kwartaal",IF(MOD(10-$W191,3)=0,$C191,0),$F191))))))</f>
        <v/>
      </c>
      <c r="U191" s="107" t="str">
        <f aca="false">IF($C191="","",IF(Dashboard!$C$4="Gemiddeld per maand",$F191,IF(OR($D191="Per maand",$D191="Per week",$D191=""),$F191,IF($D191="Per jaar",IF(11=$W191,$C191,0),IF($D191="Per half jaar",IF(MOD(11-$W191,6)=0,$C191,0),IF($D191="Per kwartaal",IF(MOD(11-$W191,3)=0,$C191,0),$F191))))))</f>
        <v/>
      </c>
      <c r="V191" s="107" t="str">
        <f aca="false">IF($C191="","",IF(Dashboard!$C$4="Gemiddeld per maand",$F191,IF(OR($D191="Per maand",$D191="Per week",$D191=""),$F191,IF($D191="Per jaar",IF(12=$W191,$C191,0),IF($D191="Per half jaar",IF(MOD(12-$W191,6)=0,$C191,0),IF($D191="Per kwartaal",IF(MOD(12-$W191,3)=0,$C191,0),$F191))))))</f>
        <v/>
      </c>
      <c r="W191" s="15" t="n">
        <f aca="false">IF($E191="",1,IFERROR(MATCH($E191,Lijsten!$K$6:$K$17,0),1))</f>
        <v>1</v>
      </c>
    </row>
    <row r="192" customFormat="false" ht="15" hidden="false" customHeight="false" outlineLevel="0" collapsed="false">
      <c r="A192" s="102"/>
      <c r="B192" s="102"/>
      <c r="C192" s="92"/>
      <c r="D192" s="102"/>
      <c r="E192" s="103"/>
      <c r="F192" s="104" t="str">
        <f aca="false">IF($C192="","",IF($D192="Per jaar",$C192/12,IF($D192="Per kwartaal",$C192/3,IF($D192="Per half jaar",$C192/6,IF($D192="Per week",$C192*52/12,$C192)))))</f>
        <v/>
      </c>
      <c r="G192" s="102"/>
      <c r="H192" s="103"/>
      <c r="I192" s="105"/>
      <c r="J192" s="106" t="str">
        <f aca="false">IF($C192="","",IF(Dashboard!$C$4="Gemiddeld per maand",$F192,IF(OR($D192="Per maand",$D192="Per week",$D192=""),$F192,IF($D192="Per jaar",IF(Dashboard!$N$2=$W192,$C192,0),IF($D192="Per half jaar",IF(MOD(Dashboard!$N$2-$W192,6)=0,$C192,0),IF($D192="Per kwartaal",IF(MOD(Dashboard!$N$2-$W192,3)=0,$C192,0),$F192))))))</f>
        <v/>
      </c>
      <c r="K192" s="107" t="str">
        <f aca="false">IF($C192="","",IF(Dashboard!$C$4="Gemiddeld per maand",$F192,IF(OR($D192="Per maand",$D192="Per week",$D192=""),$F192,IF($D192="Per jaar",IF(1=$W192,$C192,0),IF($D192="Per half jaar",IF(MOD(1-$W192,6)=0,$C192,0),IF($D192="Per kwartaal",IF(MOD(1-$W192,3)=0,$C192,0),$F192))))))</f>
        <v/>
      </c>
      <c r="L192" s="107" t="str">
        <f aca="false">IF($C192="","",IF(Dashboard!$C$4="Gemiddeld per maand",$F192,IF(OR($D192="Per maand",$D192="Per week",$D192=""),$F192,IF($D192="Per jaar",IF(2=$W192,$C192,0),IF($D192="Per half jaar",IF(MOD(2-$W192,6)=0,$C192,0),IF($D192="Per kwartaal",IF(MOD(2-$W192,3)=0,$C192,0),$F192))))))</f>
        <v/>
      </c>
      <c r="M192" s="107" t="str">
        <f aca="false">IF($C192="","",IF(Dashboard!$C$4="Gemiddeld per maand",$F192,IF(OR($D192="Per maand",$D192="Per week",$D192=""),$F192,IF($D192="Per jaar",IF(3=$W192,$C192,0),IF($D192="Per half jaar",IF(MOD(3-$W192,6)=0,$C192,0),IF($D192="Per kwartaal",IF(MOD(3-$W192,3)=0,$C192,0),$F192))))))</f>
        <v/>
      </c>
      <c r="N192" s="107" t="str">
        <f aca="false">IF($C192="","",IF(Dashboard!$C$4="Gemiddeld per maand",$F192,IF(OR($D192="Per maand",$D192="Per week",$D192=""),$F192,IF($D192="Per jaar",IF(4=$W192,$C192,0),IF($D192="Per half jaar",IF(MOD(4-$W192,6)=0,$C192,0),IF($D192="Per kwartaal",IF(MOD(4-$W192,3)=0,$C192,0),$F192))))))</f>
        <v/>
      </c>
      <c r="O192" s="107" t="str">
        <f aca="false">IF($C192="","",IF(Dashboard!$C$4="Gemiddeld per maand",$F192,IF(OR($D192="Per maand",$D192="Per week",$D192=""),$F192,IF($D192="Per jaar",IF(5=$W192,$C192,0),IF($D192="Per half jaar",IF(MOD(5-$W192,6)=0,$C192,0),IF($D192="Per kwartaal",IF(MOD(5-$W192,3)=0,$C192,0),$F192))))))</f>
        <v/>
      </c>
      <c r="P192" s="107" t="str">
        <f aca="false">IF($C192="","",IF(Dashboard!$C$4="Gemiddeld per maand",$F192,IF(OR($D192="Per maand",$D192="Per week",$D192=""),$F192,IF($D192="Per jaar",IF(6=$W192,$C192,0),IF($D192="Per half jaar",IF(MOD(6-$W192,6)=0,$C192,0),IF($D192="Per kwartaal",IF(MOD(6-$W192,3)=0,$C192,0),$F192))))))</f>
        <v/>
      </c>
      <c r="Q192" s="107" t="str">
        <f aca="false">IF($C192="","",IF(Dashboard!$C$4="Gemiddeld per maand",$F192,IF(OR($D192="Per maand",$D192="Per week",$D192=""),$F192,IF($D192="Per jaar",IF(7=$W192,$C192,0),IF($D192="Per half jaar",IF(MOD(7-$W192,6)=0,$C192,0),IF($D192="Per kwartaal",IF(MOD(7-$W192,3)=0,$C192,0),$F192))))))</f>
        <v/>
      </c>
      <c r="R192" s="107" t="str">
        <f aca="false">IF($C192="","",IF(Dashboard!$C$4="Gemiddeld per maand",$F192,IF(OR($D192="Per maand",$D192="Per week",$D192=""),$F192,IF($D192="Per jaar",IF(8=$W192,$C192,0),IF($D192="Per half jaar",IF(MOD(8-$W192,6)=0,$C192,0),IF($D192="Per kwartaal",IF(MOD(8-$W192,3)=0,$C192,0),$F192))))))</f>
        <v/>
      </c>
      <c r="S192" s="107" t="str">
        <f aca="false">IF($C192="","",IF(Dashboard!$C$4="Gemiddeld per maand",$F192,IF(OR($D192="Per maand",$D192="Per week",$D192=""),$F192,IF($D192="Per jaar",IF(9=$W192,$C192,0),IF($D192="Per half jaar",IF(MOD(9-$W192,6)=0,$C192,0),IF($D192="Per kwartaal",IF(MOD(9-$W192,3)=0,$C192,0),$F192))))))</f>
        <v/>
      </c>
      <c r="T192" s="107" t="str">
        <f aca="false">IF($C192="","",IF(Dashboard!$C$4="Gemiddeld per maand",$F192,IF(OR($D192="Per maand",$D192="Per week",$D192=""),$F192,IF($D192="Per jaar",IF(10=$W192,$C192,0),IF($D192="Per half jaar",IF(MOD(10-$W192,6)=0,$C192,0),IF($D192="Per kwartaal",IF(MOD(10-$W192,3)=0,$C192,0),$F192))))))</f>
        <v/>
      </c>
      <c r="U192" s="107" t="str">
        <f aca="false">IF($C192="","",IF(Dashboard!$C$4="Gemiddeld per maand",$F192,IF(OR($D192="Per maand",$D192="Per week",$D192=""),$F192,IF($D192="Per jaar",IF(11=$W192,$C192,0),IF($D192="Per half jaar",IF(MOD(11-$W192,6)=0,$C192,0),IF($D192="Per kwartaal",IF(MOD(11-$W192,3)=0,$C192,0),$F192))))))</f>
        <v/>
      </c>
      <c r="V192" s="107" t="str">
        <f aca="false">IF($C192="","",IF(Dashboard!$C$4="Gemiddeld per maand",$F192,IF(OR($D192="Per maand",$D192="Per week",$D192=""),$F192,IF($D192="Per jaar",IF(12=$W192,$C192,0),IF($D192="Per half jaar",IF(MOD(12-$W192,6)=0,$C192,0),IF($D192="Per kwartaal",IF(MOD(12-$W192,3)=0,$C192,0),$F192))))))</f>
        <v/>
      </c>
      <c r="W192" s="15" t="n">
        <f aca="false">IF($E192="",1,IFERROR(MATCH($E192,Lijsten!$K$6:$K$17,0),1))</f>
        <v>1</v>
      </c>
    </row>
    <row r="193" customFormat="false" ht="15" hidden="false" customHeight="false" outlineLevel="0" collapsed="false">
      <c r="A193" s="102"/>
      <c r="B193" s="102"/>
      <c r="C193" s="92"/>
      <c r="D193" s="102"/>
      <c r="E193" s="103"/>
      <c r="F193" s="104" t="str">
        <f aca="false">IF($C193="","",IF($D193="Per jaar",$C193/12,IF($D193="Per kwartaal",$C193/3,IF($D193="Per half jaar",$C193/6,IF($D193="Per week",$C193*52/12,$C193)))))</f>
        <v/>
      </c>
      <c r="G193" s="102"/>
      <c r="H193" s="103"/>
      <c r="I193" s="105"/>
      <c r="J193" s="106" t="str">
        <f aca="false">IF($C193="","",IF(Dashboard!$C$4="Gemiddeld per maand",$F193,IF(OR($D193="Per maand",$D193="Per week",$D193=""),$F193,IF($D193="Per jaar",IF(Dashboard!$N$2=$W193,$C193,0),IF($D193="Per half jaar",IF(MOD(Dashboard!$N$2-$W193,6)=0,$C193,0),IF($D193="Per kwartaal",IF(MOD(Dashboard!$N$2-$W193,3)=0,$C193,0),$F193))))))</f>
        <v/>
      </c>
      <c r="K193" s="107" t="str">
        <f aca="false">IF($C193="","",IF(Dashboard!$C$4="Gemiddeld per maand",$F193,IF(OR($D193="Per maand",$D193="Per week",$D193=""),$F193,IF($D193="Per jaar",IF(1=$W193,$C193,0),IF($D193="Per half jaar",IF(MOD(1-$W193,6)=0,$C193,0),IF($D193="Per kwartaal",IF(MOD(1-$W193,3)=0,$C193,0),$F193))))))</f>
        <v/>
      </c>
      <c r="L193" s="107" t="str">
        <f aca="false">IF($C193="","",IF(Dashboard!$C$4="Gemiddeld per maand",$F193,IF(OR($D193="Per maand",$D193="Per week",$D193=""),$F193,IF($D193="Per jaar",IF(2=$W193,$C193,0),IF($D193="Per half jaar",IF(MOD(2-$W193,6)=0,$C193,0),IF($D193="Per kwartaal",IF(MOD(2-$W193,3)=0,$C193,0),$F193))))))</f>
        <v/>
      </c>
      <c r="M193" s="107" t="str">
        <f aca="false">IF($C193="","",IF(Dashboard!$C$4="Gemiddeld per maand",$F193,IF(OR($D193="Per maand",$D193="Per week",$D193=""),$F193,IF($D193="Per jaar",IF(3=$W193,$C193,0),IF($D193="Per half jaar",IF(MOD(3-$W193,6)=0,$C193,0),IF($D193="Per kwartaal",IF(MOD(3-$W193,3)=0,$C193,0),$F193))))))</f>
        <v/>
      </c>
      <c r="N193" s="107" t="str">
        <f aca="false">IF($C193="","",IF(Dashboard!$C$4="Gemiddeld per maand",$F193,IF(OR($D193="Per maand",$D193="Per week",$D193=""),$F193,IF($D193="Per jaar",IF(4=$W193,$C193,0),IF($D193="Per half jaar",IF(MOD(4-$W193,6)=0,$C193,0),IF($D193="Per kwartaal",IF(MOD(4-$W193,3)=0,$C193,0),$F193))))))</f>
        <v/>
      </c>
      <c r="O193" s="107" t="str">
        <f aca="false">IF($C193="","",IF(Dashboard!$C$4="Gemiddeld per maand",$F193,IF(OR($D193="Per maand",$D193="Per week",$D193=""),$F193,IF($D193="Per jaar",IF(5=$W193,$C193,0),IF($D193="Per half jaar",IF(MOD(5-$W193,6)=0,$C193,0),IF($D193="Per kwartaal",IF(MOD(5-$W193,3)=0,$C193,0),$F193))))))</f>
        <v/>
      </c>
      <c r="P193" s="107" t="str">
        <f aca="false">IF($C193="","",IF(Dashboard!$C$4="Gemiddeld per maand",$F193,IF(OR($D193="Per maand",$D193="Per week",$D193=""),$F193,IF($D193="Per jaar",IF(6=$W193,$C193,0),IF($D193="Per half jaar",IF(MOD(6-$W193,6)=0,$C193,0),IF($D193="Per kwartaal",IF(MOD(6-$W193,3)=0,$C193,0),$F193))))))</f>
        <v/>
      </c>
      <c r="Q193" s="107" t="str">
        <f aca="false">IF($C193="","",IF(Dashboard!$C$4="Gemiddeld per maand",$F193,IF(OR($D193="Per maand",$D193="Per week",$D193=""),$F193,IF($D193="Per jaar",IF(7=$W193,$C193,0),IF($D193="Per half jaar",IF(MOD(7-$W193,6)=0,$C193,0),IF($D193="Per kwartaal",IF(MOD(7-$W193,3)=0,$C193,0),$F193))))))</f>
        <v/>
      </c>
      <c r="R193" s="107" t="str">
        <f aca="false">IF($C193="","",IF(Dashboard!$C$4="Gemiddeld per maand",$F193,IF(OR($D193="Per maand",$D193="Per week",$D193=""),$F193,IF($D193="Per jaar",IF(8=$W193,$C193,0),IF($D193="Per half jaar",IF(MOD(8-$W193,6)=0,$C193,0),IF($D193="Per kwartaal",IF(MOD(8-$W193,3)=0,$C193,0),$F193))))))</f>
        <v/>
      </c>
      <c r="S193" s="107" t="str">
        <f aca="false">IF($C193="","",IF(Dashboard!$C$4="Gemiddeld per maand",$F193,IF(OR($D193="Per maand",$D193="Per week",$D193=""),$F193,IF($D193="Per jaar",IF(9=$W193,$C193,0),IF($D193="Per half jaar",IF(MOD(9-$W193,6)=0,$C193,0),IF($D193="Per kwartaal",IF(MOD(9-$W193,3)=0,$C193,0),$F193))))))</f>
        <v/>
      </c>
      <c r="T193" s="107" t="str">
        <f aca="false">IF($C193="","",IF(Dashboard!$C$4="Gemiddeld per maand",$F193,IF(OR($D193="Per maand",$D193="Per week",$D193=""),$F193,IF($D193="Per jaar",IF(10=$W193,$C193,0),IF($D193="Per half jaar",IF(MOD(10-$W193,6)=0,$C193,0),IF($D193="Per kwartaal",IF(MOD(10-$W193,3)=0,$C193,0),$F193))))))</f>
        <v/>
      </c>
      <c r="U193" s="107" t="str">
        <f aca="false">IF($C193="","",IF(Dashboard!$C$4="Gemiddeld per maand",$F193,IF(OR($D193="Per maand",$D193="Per week",$D193=""),$F193,IF($D193="Per jaar",IF(11=$W193,$C193,0),IF($D193="Per half jaar",IF(MOD(11-$W193,6)=0,$C193,0),IF($D193="Per kwartaal",IF(MOD(11-$W193,3)=0,$C193,0),$F193))))))</f>
        <v/>
      </c>
      <c r="V193" s="107" t="str">
        <f aca="false">IF($C193="","",IF(Dashboard!$C$4="Gemiddeld per maand",$F193,IF(OR($D193="Per maand",$D193="Per week",$D193=""),$F193,IF($D193="Per jaar",IF(12=$W193,$C193,0),IF($D193="Per half jaar",IF(MOD(12-$W193,6)=0,$C193,0),IF($D193="Per kwartaal",IF(MOD(12-$W193,3)=0,$C193,0),$F193))))))</f>
        <v/>
      </c>
      <c r="W193" s="15" t="n">
        <f aca="false">IF($E193="",1,IFERROR(MATCH($E193,Lijsten!$K$6:$K$17,0),1))</f>
        <v>1</v>
      </c>
    </row>
    <row r="194" customFormat="false" ht="15" hidden="false" customHeight="false" outlineLevel="0" collapsed="false">
      <c r="A194" s="102"/>
      <c r="B194" s="102"/>
      <c r="C194" s="92"/>
      <c r="D194" s="102"/>
      <c r="E194" s="103"/>
      <c r="F194" s="104" t="str">
        <f aca="false">IF($C194="","",IF($D194="Per jaar",$C194/12,IF($D194="Per kwartaal",$C194/3,IF($D194="Per half jaar",$C194/6,IF($D194="Per week",$C194*52/12,$C194)))))</f>
        <v/>
      </c>
      <c r="G194" s="102"/>
      <c r="H194" s="103"/>
      <c r="I194" s="105"/>
      <c r="J194" s="106" t="str">
        <f aca="false">IF($C194="","",IF(Dashboard!$C$4="Gemiddeld per maand",$F194,IF(OR($D194="Per maand",$D194="Per week",$D194=""),$F194,IF($D194="Per jaar",IF(Dashboard!$N$2=$W194,$C194,0),IF($D194="Per half jaar",IF(MOD(Dashboard!$N$2-$W194,6)=0,$C194,0),IF($D194="Per kwartaal",IF(MOD(Dashboard!$N$2-$W194,3)=0,$C194,0),$F194))))))</f>
        <v/>
      </c>
      <c r="K194" s="107" t="str">
        <f aca="false">IF($C194="","",IF(Dashboard!$C$4="Gemiddeld per maand",$F194,IF(OR($D194="Per maand",$D194="Per week",$D194=""),$F194,IF($D194="Per jaar",IF(1=$W194,$C194,0),IF($D194="Per half jaar",IF(MOD(1-$W194,6)=0,$C194,0),IF($D194="Per kwartaal",IF(MOD(1-$W194,3)=0,$C194,0),$F194))))))</f>
        <v/>
      </c>
      <c r="L194" s="107" t="str">
        <f aca="false">IF($C194="","",IF(Dashboard!$C$4="Gemiddeld per maand",$F194,IF(OR($D194="Per maand",$D194="Per week",$D194=""),$F194,IF($D194="Per jaar",IF(2=$W194,$C194,0),IF($D194="Per half jaar",IF(MOD(2-$W194,6)=0,$C194,0),IF($D194="Per kwartaal",IF(MOD(2-$W194,3)=0,$C194,0),$F194))))))</f>
        <v/>
      </c>
      <c r="M194" s="107" t="str">
        <f aca="false">IF($C194="","",IF(Dashboard!$C$4="Gemiddeld per maand",$F194,IF(OR($D194="Per maand",$D194="Per week",$D194=""),$F194,IF($D194="Per jaar",IF(3=$W194,$C194,0),IF($D194="Per half jaar",IF(MOD(3-$W194,6)=0,$C194,0),IF($D194="Per kwartaal",IF(MOD(3-$W194,3)=0,$C194,0),$F194))))))</f>
        <v/>
      </c>
      <c r="N194" s="107" t="str">
        <f aca="false">IF($C194="","",IF(Dashboard!$C$4="Gemiddeld per maand",$F194,IF(OR($D194="Per maand",$D194="Per week",$D194=""),$F194,IF($D194="Per jaar",IF(4=$W194,$C194,0),IF($D194="Per half jaar",IF(MOD(4-$W194,6)=0,$C194,0),IF($D194="Per kwartaal",IF(MOD(4-$W194,3)=0,$C194,0),$F194))))))</f>
        <v/>
      </c>
      <c r="O194" s="107" t="str">
        <f aca="false">IF($C194="","",IF(Dashboard!$C$4="Gemiddeld per maand",$F194,IF(OR($D194="Per maand",$D194="Per week",$D194=""),$F194,IF($D194="Per jaar",IF(5=$W194,$C194,0),IF($D194="Per half jaar",IF(MOD(5-$W194,6)=0,$C194,0),IF($D194="Per kwartaal",IF(MOD(5-$W194,3)=0,$C194,0),$F194))))))</f>
        <v/>
      </c>
      <c r="P194" s="107" t="str">
        <f aca="false">IF($C194="","",IF(Dashboard!$C$4="Gemiddeld per maand",$F194,IF(OR($D194="Per maand",$D194="Per week",$D194=""),$F194,IF($D194="Per jaar",IF(6=$W194,$C194,0),IF($D194="Per half jaar",IF(MOD(6-$W194,6)=0,$C194,0),IF($D194="Per kwartaal",IF(MOD(6-$W194,3)=0,$C194,0),$F194))))))</f>
        <v/>
      </c>
      <c r="Q194" s="107" t="str">
        <f aca="false">IF($C194="","",IF(Dashboard!$C$4="Gemiddeld per maand",$F194,IF(OR($D194="Per maand",$D194="Per week",$D194=""),$F194,IF($D194="Per jaar",IF(7=$W194,$C194,0),IF($D194="Per half jaar",IF(MOD(7-$W194,6)=0,$C194,0),IF($D194="Per kwartaal",IF(MOD(7-$W194,3)=0,$C194,0),$F194))))))</f>
        <v/>
      </c>
      <c r="R194" s="107" t="str">
        <f aca="false">IF($C194="","",IF(Dashboard!$C$4="Gemiddeld per maand",$F194,IF(OR($D194="Per maand",$D194="Per week",$D194=""),$F194,IF($D194="Per jaar",IF(8=$W194,$C194,0),IF($D194="Per half jaar",IF(MOD(8-$W194,6)=0,$C194,0),IF($D194="Per kwartaal",IF(MOD(8-$W194,3)=0,$C194,0),$F194))))))</f>
        <v/>
      </c>
      <c r="S194" s="107" t="str">
        <f aca="false">IF($C194="","",IF(Dashboard!$C$4="Gemiddeld per maand",$F194,IF(OR($D194="Per maand",$D194="Per week",$D194=""),$F194,IF($D194="Per jaar",IF(9=$W194,$C194,0),IF($D194="Per half jaar",IF(MOD(9-$W194,6)=0,$C194,0),IF($D194="Per kwartaal",IF(MOD(9-$W194,3)=0,$C194,0),$F194))))))</f>
        <v/>
      </c>
      <c r="T194" s="107" t="str">
        <f aca="false">IF($C194="","",IF(Dashboard!$C$4="Gemiddeld per maand",$F194,IF(OR($D194="Per maand",$D194="Per week",$D194=""),$F194,IF($D194="Per jaar",IF(10=$W194,$C194,0),IF($D194="Per half jaar",IF(MOD(10-$W194,6)=0,$C194,0),IF($D194="Per kwartaal",IF(MOD(10-$W194,3)=0,$C194,0),$F194))))))</f>
        <v/>
      </c>
      <c r="U194" s="107" t="str">
        <f aca="false">IF($C194="","",IF(Dashboard!$C$4="Gemiddeld per maand",$F194,IF(OR($D194="Per maand",$D194="Per week",$D194=""),$F194,IF($D194="Per jaar",IF(11=$W194,$C194,0),IF($D194="Per half jaar",IF(MOD(11-$W194,6)=0,$C194,0),IF($D194="Per kwartaal",IF(MOD(11-$W194,3)=0,$C194,0),$F194))))))</f>
        <v/>
      </c>
      <c r="V194" s="107" t="str">
        <f aca="false">IF($C194="","",IF(Dashboard!$C$4="Gemiddeld per maand",$F194,IF(OR($D194="Per maand",$D194="Per week",$D194=""),$F194,IF($D194="Per jaar",IF(12=$W194,$C194,0),IF($D194="Per half jaar",IF(MOD(12-$W194,6)=0,$C194,0),IF($D194="Per kwartaal",IF(MOD(12-$W194,3)=0,$C194,0),$F194))))))</f>
        <v/>
      </c>
      <c r="W194" s="15" t="n">
        <f aca="false">IF($E194="",1,IFERROR(MATCH($E194,Lijsten!$K$6:$K$17,0),1))</f>
        <v>1</v>
      </c>
    </row>
    <row r="195" customFormat="false" ht="15" hidden="false" customHeight="false" outlineLevel="0" collapsed="false">
      <c r="A195" s="102"/>
      <c r="B195" s="102"/>
      <c r="C195" s="92"/>
      <c r="D195" s="102"/>
      <c r="E195" s="103"/>
      <c r="F195" s="104" t="str">
        <f aca="false">IF($C195="","",IF($D195="Per jaar",$C195/12,IF($D195="Per kwartaal",$C195/3,IF($D195="Per half jaar",$C195/6,IF($D195="Per week",$C195*52/12,$C195)))))</f>
        <v/>
      </c>
      <c r="G195" s="102"/>
      <c r="H195" s="103"/>
      <c r="I195" s="105"/>
      <c r="J195" s="106" t="str">
        <f aca="false">IF($C195="","",IF(Dashboard!$C$4="Gemiddeld per maand",$F195,IF(OR($D195="Per maand",$D195="Per week",$D195=""),$F195,IF($D195="Per jaar",IF(Dashboard!$N$2=$W195,$C195,0),IF($D195="Per half jaar",IF(MOD(Dashboard!$N$2-$W195,6)=0,$C195,0),IF($D195="Per kwartaal",IF(MOD(Dashboard!$N$2-$W195,3)=0,$C195,0),$F195))))))</f>
        <v/>
      </c>
      <c r="K195" s="107" t="str">
        <f aca="false">IF($C195="","",IF(Dashboard!$C$4="Gemiddeld per maand",$F195,IF(OR($D195="Per maand",$D195="Per week",$D195=""),$F195,IF($D195="Per jaar",IF(1=$W195,$C195,0),IF($D195="Per half jaar",IF(MOD(1-$W195,6)=0,$C195,0),IF($D195="Per kwartaal",IF(MOD(1-$W195,3)=0,$C195,0),$F195))))))</f>
        <v/>
      </c>
      <c r="L195" s="107" t="str">
        <f aca="false">IF($C195="","",IF(Dashboard!$C$4="Gemiddeld per maand",$F195,IF(OR($D195="Per maand",$D195="Per week",$D195=""),$F195,IF($D195="Per jaar",IF(2=$W195,$C195,0),IF($D195="Per half jaar",IF(MOD(2-$W195,6)=0,$C195,0),IF($D195="Per kwartaal",IF(MOD(2-$W195,3)=0,$C195,0),$F195))))))</f>
        <v/>
      </c>
      <c r="M195" s="107" t="str">
        <f aca="false">IF($C195="","",IF(Dashboard!$C$4="Gemiddeld per maand",$F195,IF(OR($D195="Per maand",$D195="Per week",$D195=""),$F195,IF($D195="Per jaar",IF(3=$W195,$C195,0),IF($D195="Per half jaar",IF(MOD(3-$W195,6)=0,$C195,0),IF($D195="Per kwartaal",IF(MOD(3-$W195,3)=0,$C195,0),$F195))))))</f>
        <v/>
      </c>
      <c r="N195" s="107" t="str">
        <f aca="false">IF($C195="","",IF(Dashboard!$C$4="Gemiddeld per maand",$F195,IF(OR($D195="Per maand",$D195="Per week",$D195=""),$F195,IF($D195="Per jaar",IF(4=$W195,$C195,0),IF($D195="Per half jaar",IF(MOD(4-$W195,6)=0,$C195,0),IF($D195="Per kwartaal",IF(MOD(4-$W195,3)=0,$C195,0),$F195))))))</f>
        <v/>
      </c>
      <c r="O195" s="107" t="str">
        <f aca="false">IF($C195="","",IF(Dashboard!$C$4="Gemiddeld per maand",$F195,IF(OR($D195="Per maand",$D195="Per week",$D195=""),$F195,IF($D195="Per jaar",IF(5=$W195,$C195,0),IF($D195="Per half jaar",IF(MOD(5-$W195,6)=0,$C195,0),IF($D195="Per kwartaal",IF(MOD(5-$W195,3)=0,$C195,0),$F195))))))</f>
        <v/>
      </c>
      <c r="P195" s="107" t="str">
        <f aca="false">IF($C195="","",IF(Dashboard!$C$4="Gemiddeld per maand",$F195,IF(OR($D195="Per maand",$D195="Per week",$D195=""),$F195,IF($D195="Per jaar",IF(6=$W195,$C195,0),IF($D195="Per half jaar",IF(MOD(6-$W195,6)=0,$C195,0),IF($D195="Per kwartaal",IF(MOD(6-$W195,3)=0,$C195,0),$F195))))))</f>
        <v/>
      </c>
      <c r="Q195" s="107" t="str">
        <f aca="false">IF($C195="","",IF(Dashboard!$C$4="Gemiddeld per maand",$F195,IF(OR($D195="Per maand",$D195="Per week",$D195=""),$F195,IF($D195="Per jaar",IF(7=$W195,$C195,0),IF($D195="Per half jaar",IF(MOD(7-$W195,6)=0,$C195,0),IF($D195="Per kwartaal",IF(MOD(7-$W195,3)=0,$C195,0),$F195))))))</f>
        <v/>
      </c>
      <c r="R195" s="107" t="str">
        <f aca="false">IF($C195="","",IF(Dashboard!$C$4="Gemiddeld per maand",$F195,IF(OR($D195="Per maand",$D195="Per week",$D195=""),$F195,IF($D195="Per jaar",IF(8=$W195,$C195,0),IF($D195="Per half jaar",IF(MOD(8-$W195,6)=0,$C195,0),IF($D195="Per kwartaal",IF(MOD(8-$W195,3)=0,$C195,0),$F195))))))</f>
        <v/>
      </c>
      <c r="S195" s="107" t="str">
        <f aca="false">IF($C195="","",IF(Dashboard!$C$4="Gemiddeld per maand",$F195,IF(OR($D195="Per maand",$D195="Per week",$D195=""),$F195,IF($D195="Per jaar",IF(9=$W195,$C195,0),IF($D195="Per half jaar",IF(MOD(9-$W195,6)=0,$C195,0),IF($D195="Per kwartaal",IF(MOD(9-$W195,3)=0,$C195,0),$F195))))))</f>
        <v/>
      </c>
      <c r="T195" s="107" t="str">
        <f aca="false">IF($C195="","",IF(Dashboard!$C$4="Gemiddeld per maand",$F195,IF(OR($D195="Per maand",$D195="Per week",$D195=""),$F195,IF($D195="Per jaar",IF(10=$W195,$C195,0),IF($D195="Per half jaar",IF(MOD(10-$W195,6)=0,$C195,0),IF($D195="Per kwartaal",IF(MOD(10-$W195,3)=0,$C195,0),$F195))))))</f>
        <v/>
      </c>
      <c r="U195" s="107" t="str">
        <f aca="false">IF($C195="","",IF(Dashboard!$C$4="Gemiddeld per maand",$F195,IF(OR($D195="Per maand",$D195="Per week",$D195=""),$F195,IF($D195="Per jaar",IF(11=$W195,$C195,0),IF($D195="Per half jaar",IF(MOD(11-$W195,6)=0,$C195,0),IF($D195="Per kwartaal",IF(MOD(11-$W195,3)=0,$C195,0),$F195))))))</f>
        <v/>
      </c>
      <c r="V195" s="107" t="str">
        <f aca="false">IF($C195="","",IF(Dashboard!$C$4="Gemiddeld per maand",$F195,IF(OR($D195="Per maand",$D195="Per week",$D195=""),$F195,IF($D195="Per jaar",IF(12=$W195,$C195,0),IF($D195="Per half jaar",IF(MOD(12-$W195,6)=0,$C195,0),IF($D195="Per kwartaal",IF(MOD(12-$W195,3)=0,$C195,0),$F195))))))</f>
        <v/>
      </c>
      <c r="W195" s="15" t="n">
        <f aca="false">IF($E195="",1,IFERROR(MATCH($E195,Lijsten!$K$6:$K$17,0),1))</f>
        <v>1</v>
      </c>
    </row>
    <row r="196" customFormat="false" ht="15" hidden="false" customHeight="false" outlineLevel="0" collapsed="false">
      <c r="A196" s="102"/>
      <c r="B196" s="102"/>
      <c r="C196" s="92"/>
      <c r="D196" s="102"/>
      <c r="E196" s="103"/>
      <c r="F196" s="104" t="str">
        <f aca="false">IF($C196="","",IF($D196="Per jaar",$C196/12,IF($D196="Per kwartaal",$C196/3,IF($D196="Per half jaar",$C196/6,IF($D196="Per week",$C196*52/12,$C196)))))</f>
        <v/>
      </c>
      <c r="G196" s="102"/>
      <c r="H196" s="103"/>
      <c r="I196" s="105"/>
      <c r="J196" s="106" t="str">
        <f aca="false">IF($C196="","",IF(Dashboard!$C$4="Gemiddeld per maand",$F196,IF(OR($D196="Per maand",$D196="Per week",$D196=""),$F196,IF($D196="Per jaar",IF(Dashboard!$N$2=$W196,$C196,0),IF($D196="Per half jaar",IF(MOD(Dashboard!$N$2-$W196,6)=0,$C196,0),IF($D196="Per kwartaal",IF(MOD(Dashboard!$N$2-$W196,3)=0,$C196,0),$F196))))))</f>
        <v/>
      </c>
      <c r="K196" s="107" t="str">
        <f aca="false">IF($C196="","",IF(Dashboard!$C$4="Gemiddeld per maand",$F196,IF(OR($D196="Per maand",$D196="Per week",$D196=""),$F196,IF($D196="Per jaar",IF(1=$W196,$C196,0),IF($D196="Per half jaar",IF(MOD(1-$W196,6)=0,$C196,0),IF($D196="Per kwartaal",IF(MOD(1-$W196,3)=0,$C196,0),$F196))))))</f>
        <v/>
      </c>
      <c r="L196" s="107" t="str">
        <f aca="false">IF($C196="","",IF(Dashboard!$C$4="Gemiddeld per maand",$F196,IF(OR($D196="Per maand",$D196="Per week",$D196=""),$F196,IF($D196="Per jaar",IF(2=$W196,$C196,0),IF($D196="Per half jaar",IF(MOD(2-$W196,6)=0,$C196,0),IF($D196="Per kwartaal",IF(MOD(2-$W196,3)=0,$C196,0),$F196))))))</f>
        <v/>
      </c>
      <c r="M196" s="107" t="str">
        <f aca="false">IF($C196="","",IF(Dashboard!$C$4="Gemiddeld per maand",$F196,IF(OR($D196="Per maand",$D196="Per week",$D196=""),$F196,IF($D196="Per jaar",IF(3=$W196,$C196,0),IF($D196="Per half jaar",IF(MOD(3-$W196,6)=0,$C196,0),IF($D196="Per kwartaal",IF(MOD(3-$W196,3)=0,$C196,0),$F196))))))</f>
        <v/>
      </c>
      <c r="N196" s="107" t="str">
        <f aca="false">IF($C196="","",IF(Dashboard!$C$4="Gemiddeld per maand",$F196,IF(OR($D196="Per maand",$D196="Per week",$D196=""),$F196,IF($D196="Per jaar",IF(4=$W196,$C196,0),IF($D196="Per half jaar",IF(MOD(4-$W196,6)=0,$C196,0),IF($D196="Per kwartaal",IF(MOD(4-$W196,3)=0,$C196,0),$F196))))))</f>
        <v/>
      </c>
      <c r="O196" s="107" t="str">
        <f aca="false">IF($C196="","",IF(Dashboard!$C$4="Gemiddeld per maand",$F196,IF(OR($D196="Per maand",$D196="Per week",$D196=""),$F196,IF($D196="Per jaar",IF(5=$W196,$C196,0),IF($D196="Per half jaar",IF(MOD(5-$W196,6)=0,$C196,0),IF($D196="Per kwartaal",IF(MOD(5-$W196,3)=0,$C196,0),$F196))))))</f>
        <v/>
      </c>
      <c r="P196" s="107" t="str">
        <f aca="false">IF($C196="","",IF(Dashboard!$C$4="Gemiddeld per maand",$F196,IF(OR($D196="Per maand",$D196="Per week",$D196=""),$F196,IF($D196="Per jaar",IF(6=$W196,$C196,0),IF($D196="Per half jaar",IF(MOD(6-$W196,6)=0,$C196,0),IF($D196="Per kwartaal",IF(MOD(6-$W196,3)=0,$C196,0),$F196))))))</f>
        <v/>
      </c>
      <c r="Q196" s="107" t="str">
        <f aca="false">IF($C196="","",IF(Dashboard!$C$4="Gemiddeld per maand",$F196,IF(OR($D196="Per maand",$D196="Per week",$D196=""),$F196,IF($D196="Per jaar",IF(7=$W196,$C196,0),IF($D196="Per half jaar",IF(MOD(7-$W196,6)=0,$C196,0),IF($D196="Per kwartaal",IF(MOD(7-$W196,3)=0,$C196,0),$F196))))))</f>
        <v/>
      </c>
      <c r="R196" s="107" t="str">
        <f aca="false">IF($C196="","",IF(Dashboard!$C$4="Gemiddeld per maand",$F196,IF(OR($D196="Per maand",$D196="Per week",$D196=""),$F196,IF($D196="Per jaar",IF(8=$W196,$C196,0),IF($D196="Per half jaar",IF(MOD(8-$W196,6)=0,$C196,0),IF($D196="Per kwartaal",IF(MOD(8-$W196,3)=0,$C196,0),$F196))))))</f>
        <v/>
      </c>
      <c r="S196" s="107" t="str">
        <f aca="false">IF($C196="","",IF(Dashboard!$C$4="Gemiddeld per maand",$F196,IF(OR($D196="Per maand",$D196="Per week",$D196=""),$F196,IF($D196="Per jaar",IF(9=$W196,$C196,0),IF($D196="Per half jaar",IF(MOD(9-$W196,6)=0,$C196,0),IF($D196="Per kwartaal",IF(MOD(9-$W196,3)=0,$C196,0),$F196))))))</f>
        <v/>
      </c>
      <c r="T196" s="107" t="str">
        <f aca="false">IF($C196="","",IF(Dashboard!$C$4="Gemiddeld per maand",$F196,IF(OR($D196="Per maand",$D196="Per week",$D196=""),$F196,IF($D196="Per jaar",IF(10=$W196,$C196,0),IF($D196="Per half jaar",IF(MOD(10-$W196,6)=0,$C196,0),IF($D196="Per kwartaal",IF(MOD(10-$W196,3)=0,$C196,0),$F196))))))</f>
        <v/>
      </c>
      <c r="U196" s="107" t="str">
        <f aca="false">IF($C196="","",IF(Dashboard!$C$4="Gemiddeld per maand",$F196,IF(OR($D196="Per maand",$D196="Per week",$D196=""),$F196,IF($D196="Per jaar",IF(11=$W196,$C196,0),IF($D196="Per half jaar",IF(MOD(11-$W196,6)=0,$C196,0),IF($D196="Per kwartaal",IF(MOD(11-$W196,3)=0,$C196,0),$F196))))))</f>
        <v/>
      </c>
      <c r="V196" s="107" t="str">
        <f aca="false">IF($C196="","",IF(Dashboard!$C$4="Gemiddeld per maand",$F196,IF(OR($D196="Per maand",$D196="Per week",$D196=""),$F196,IF($D196="Per jaar",IF(12=$W196,$C196,0),IF($D196="Per half jaar",IF(MOD(12-$W196,6)=0,$C196,0),IF($D196="Per kwartaal",IF(MOD(12-$W196,3)=0,$C196,0),$F196))))))</f>
        <v/>
      </c>
      <c r="W196" s="15" t="n">
        <f aca="false">IF($E196="",1,IFERROR(MATCH($E196,Lijsten!$K$6:$K$17,0),1))</f>
        <v>1</v>
      </c>
    </row>
    <row r="197" customFormat="false" ht="15" hidden="false" customHeight="false" outlineLevel="0" collapsed="false">
      <c r="A197" s="102"/>
      <c r="B197" s="102"/>
      <c r="C197" s="92"/>
      <c r="D197" s="102"/>
      <c r="E197" s="103"/>
      <c r="F197" s="104" t="str">
        <f aca="false">IF($C197="","",IF($D197="Per jaar",$C197/12,IF($D197="Per kwartaal",$C197/3,IF($D197="Per half jaar",$C197/6,IF($D197="Per week",$C197*52/12,$C197)))))</f>
        <v/>
      </c>
      <c r="G197" s="102"/>
      <c r="H197" s="103"/>
      <c r="I197" s="105"/>
      <c r="J197" s="106" t="str">
        <f aca="false">IF($C197="","",IF(Dashboard!$C$4="Gemiddeld per maand",$F197,IF(OR($D197="Per maand",$D197="Per week",$D197=""),$F197,IF($D197="Per jaar",IF(Dashboard!$N$2=$W197,$C197,0),IF($D197="Per half jaar",IF(MOD(Dashboard!$N$2-$W197,6)=0,$C197,0),IF($D197="Per kwartaal",IF(MOD(Dashboard!$N$2-$W197,3)=0,$C197,0),$F197))))))</f>
        <v/>
      </c>
      <c r="K197" s="107" t="str">
        <f aca="false">IF($C197="","",IF(Dashboard!$C$4="Gemiddeld per maand",$F197,IF(OR($D197="Per maand",$D197="Per week",$D197=""),$F197,IF($D197="Per jaar",IF(1=$W197,$C197,0),IF($D197="Per half jaar",IF(MOD(1-$W197,6)=0,$C197,0),IF($D197="Per kwartaal",IF(MOD(1-$W197,3)=0,$C197,0),$F197))))))</f>
        <v/>
      </c>
      <c r="L197" s="107" t="str">
        <f aca="false">IF($C197="","",IF(Dashboard!$C$4="Gemiddeld per maand",$F197,IF(OR($D197="Per maand",$D197="Per week",$D197=""),$F197,IF($D197="Per jaar",IF(2=$W197,$C197,0),IF($D197="Per half jaar",IF(MOD(2-$W197,6)=0,$C197,0),IF($D197="Per kwartaal",IF(MOD(2-$W197,3)=0,$C197,0),$F197))))))</f>
        <v/>
      </c>
      <c r="M197" s="107" t="str">
        <f aca="false">IF($C197="","",IF(Dashboard!$C$4="Gemiddeld per maand",$F197,IF(OR($D197="Per maand",$D197="Per week",$D197=""),$F197,IF($D197="Per jaar",IF(3=$W197,$C197,0),IF($D197="Per half jaar",IF(MOD(3-$W197,6)=0,$C197,0),IF($D197="Per kwartaal",IF(MOD(3-$W197,3)=0,$C197,0),$F197))))))</f>
        <v/>
      </c>
      <c r="N197" s="107" t="str">
        <f aca="false">IF($C197="","",IF(Dashboard!$C$4="Gemiddeld per maand",$F197,IF(OR($D197="Per maand",$D197="Per week",$D197=""),$F197,IF($D197="Per jaar",IF(4=$W197,$C197,0),IF($D197="Per half jaar",IF(MOD(4-$W197,6)=0,$C197,0),IF($D197="Per kwartaal",IF(MOD(4-$W197,3)=0,$C197,0),$F197))))))</f>
        <v/>
      </c>
      <c r="O197" s="107" t="str">
        <f aca="false">IF($C197="","",IF(Dashboard!$C$4="Gemiddeld per maand",$F197,IF(OR($D197="Per maand",$D197="Per week",$D197=""),$F197,IF($D197="Per jaar",IF(5=$W197,$C197,0),IF($D197="Per half jaar",IF(MOD(5-$W197,6)=0,$C197,0),IF($D197="Per kwartaal",IF(MOD(5-$W197,3)=0,$C197,0),$F197))))))</f>
        <v/>
      </c>
      <c r="P197" s="107" t="str">
        <f aca="false">IF($C197="","",IF(Dashboard!$C$4="Gemiddeld per maand",$F197,IF(OR($D197="Per maand",$D197="Per week",$D197=""),$F197,IF($D197="Per jaar",IF(6=$W197,$C197,0),IF($D197="Per half jaar",IF(MOD(6-$W197,6)=0,$C197,0),IF($D197="Per kwartaal",IF(MOD(6-$W197,3)=0,$C197,0),$F197))))))</f>
        <v/>
      </c>
      <c r="Q197" s="107" t="str">
        <f aca="false">IF($C197="","",IF(Dashboard!$C$4="Gemiddeld per maand",$F197,IF(OR($D197="Per maand",$D197="Per week",$D197=""),$F197,IF($D197="Per jaar",IF(7=$W197,$C197,0),IF($D197="Per half jaar",IF(MOD(7-$W197,6)=0,$C197,0),IF($D197="Per kwartaal",IF(MOD(7-$W197,3)=0,$C197,0),$F197))))))</f>
        <v/>
      </c>
      <c r="R197" s="107" t="str">
        <f aca="false">IF($C197="","",IF(Dashboard!$C$4="Gemiddeld per maand",$F197,IF(OR($D197="Per maand",$D197="Per week",$D197=""),$F197,IF($D197="Per jaar",IF(8=$W197,$C197,0),IF($D197="Per half jaar",IF(MOD(8-$W197,6)=0,$C197,0),IF($D197="Per kwartaal",IF(MOD(8-$W197,3)=0,$C197,0),$F197))))))</f>
        <v/>
      </c>
      <c r="S197" s="107" t="str">
        <f aca="false">IF($C197="","",IF(Dashboard!$C$4="Gemiddeld per maand",$F197,IF(OR($D197="Per maand",$D197="Per week",$D197=""),$F197,IF($D197="Per jaar",IF(9=$W197,$C197,0),IF($D197="Per half jaar",IF(MOD(9-$W197,6)=0,$C197,0),IF($D197="Per kwartaal",IF(MOD(9-$W197,3)=0,$C197,0),$F197))))))</f>
        <v/>
      </c>
      <c r="T197" s="107" t="str">
        <f aca="false">IF($C197="","",IF(Dashboard!$C$4="Gemiddeld per maand",$F197,IF(OR($D197="Per maand",$D197="Per week",$D197=""),$F197,IF($D197="Per jaar",IF(10=$W197,$C197,0),IF($D197="Per half jaar",IF(MOD(10-$W197,6)=0,$C197,0),IF($D197="Per kwartaal",IF(MOD(10-$W197,3)=0,$C197,0),$F197))))))</f>
        <v/>
      </c>
      <c r="U197" s="107" t="str">
        <f aca="false">IF($C197="","",IF(Dashboard!$C$4="Gemiddeld per maand",$F197,IF(OR($D197="Per maand",$D197="Per week",$D197=""),$F197,IF($D197="Per jaar",IF(11=$W197,$C197,0),IF($D197="Per half jaar",IF(MOD(11-$W197,6)=0,$C197,0),IF($D197="Per kwartaal",IF(MOD(11-$W197,3)=0,$C197,0),$F197))))))</f>
        <v/>
      </c>
      <c r="V197" s="107" t="str">
        <f aca="false">IF($C197="","",IF(Dashboard!$C$4="Gemiddeld per maand",$F197,IF(OR($D197="Per maand",$D197="Per week",$D197=""),$F197,IF($D197="Per jaar",IF(12=$W197,$C197,0),IF($D197="Per half jaar",IF(MOD(12-$W197,6)=0,$C197,0),IF($D197="Per kwartaal",IF(MOD(12-$W197,3)=0,$C197,0),$F197))))))</f>
        <v/>
      </c>
      <c r="W197" s="15" t="n">
        <f aca="false">IF($E197="",1,IFERROR(MATCH($E197,Lijsten!$K$6:$K$17,0),1))</f>
        <v>1</v>
      </c>
    </row>
    <row r="198" customFormat="false" ht="15" hidden="false" customHeight="false" outlineLevel="0" collapsed="false">
      <c r="A198" s="102"/>
      <c r="B198" s="102"/>
      <c r="C198" s="92"/>
      <c r="D198" s="102"/>
      <c r="E198" s="103"/>
      <c r="F198" s="104" t="str">
        <f aca="false">IF($C198="","",IF($D198="Per jaar",$C198/12,IF($D198="Per kwartaal",$C198/3,IF($D198="Per half jaar",$C198/6,IF($D198="Per week",$C198*52/12,$C198)))))</f>
        <v/>
      </c>
      <c r="G198" s="102"/>
      <c r="H198" s="103"/>
      <c r="I198" s="105"/>
      <c r="J198" s="106" t="str">
        <f aca="false">IF($C198="","",IF(Dashboard!$C$4="Gemiddeld per maand",$F198,IF(OR($D198="Per maand",$D198="Per week",$D198=""),$F198,IF($D198="Per jaar",IF(Dashboard!$N$2=$W198,$C198,0),IF($D198="Per half jaar",IF(MOD(Dashboard!$N$2-$W198,6)=0,$C198,0),IF($D198="Per kwartaal",IF(MOD(Dashboard!$N$2-$W198,3)=0,$C198,0),$F198))))))</f>
        <v/>
      </c>
      <c r="K198" s="107" t="str">
        <f aca="false">IF($C198="","",IF(Dashboard!$C$4="Gemiddeld per maand",$F198,IF(OR($D198="Per maand",$D198="Per week",$D198=""),$F198,IF($D198="Per jaar",IF(1=$W198,$C198,0),IF($D198="Per half jaar",IF(MOD(1-$W198,6)=0,$C198,0),IF($D198="Per kwartaal",IF(MOD(1-$W198,3)=0,$C198,0),$F198))))))</f>
        <v/>
      </c>
      <c r="L198" s="107" t="str">
        <f aca="false">IF($C198="","",IF(Dashboard!$C$4="Gemiddeld per maand",$F198,IF(OR($D198="Per maand",$D198="Per week",$D198=""),$F198,IF($D198="Per jaar",IF(2=$W198,$C198,0),IF($D198="Per half jaar",IF(MOD(2-$W198,6)=0,$C198,0),IF($D198="Per kwartaal",IF(MOD(2-$W198,3)=0,$C198,0),$F198))))))</f>
        <v/>
      </c>
      <c r="M198" s="107" t="str">
        <f aca="false">IF($C198="","",IF(Dashboard!$C$4="Gemiddeld per maand",$F198,IF(OR($D198="Per maand",$D198="Per week",$D198=""),$F198,IF($D198="Per jaar",IF(3=$W198,$C198,0),IF($D198="Per half jaar",IF(MOD(3-$W198,6)=0,$C198,0),IF($D198="Per kwartaal",IF(MOD(3-$W198,3)=0,$C198,0),$F198))))))</f>
        <v/>
      </c>
      <c r="N198" s="107" t="str">
        <f aca="false">IF($C198="","",IF(Dashboard!$C$4="Gemiddeld per maand",$F198,IF(OR($D198="Per maand",$D198="Per week",$D198=""),$F198,IF($D198="Per jaar",IF(4=$W198,$C198,0),IF($D198="Per half jaar",IF(MOD(4-$W198,6)=0,$C198,0),IF($D198="Per kwartaal",IF(MOD(4-$W198,3)=0,$C198,0),$F198))))))</f>
        <v/>
      </c>
      <c r="O198" s="107" t="str">
        <f aca="false">IF($C198="","",IF(Dashboard!$C$4="Gemiddeld per maand",$F198,IF(OR($D198="Per maand",$D198="Per week",$D198=""),$F198,IF($D198="Per jaar",IF(5=$W198,$C198,0),IF($D198="Per half jaar",IF(MOD(5-$W198,6)=0,$C198,0),IF($D198="Per kwartaal",IF(MOD(5-$W198,3)=0,$C198,0),$F198))))))</f>
        <v/>
      </c>
      <c r="P198" s="107" t="str">
        <f aca="false">IF($C198="","",IF(Dashboard!$C$4="Gemiddeld per maand",$F198,IF(OR($D198="Per maand",$D198="Per week",$D198=""),$F198,IF($D198="Per jaar",IF(6=$W198,$C198,0),IF($D198="Per half jaar",IF(MOD(6-$W198,6)=0,$C198,0),IF($D198="Per kwartaal",IF(MOD(6-$W198,3)=0,$C198,0),$F198))))))</f>
        <v/>
      </c>
      <c r="Q198" s="107" t="str">
        <f aca="false">IF($C198="","",IF(Dashboard!$C$4="Gemiddeld per maand",$F198,IF(OR($D198="Per maand",$D198="Per week",$D198=""),$F198,IF($D198="Per jaar",IF(7=$W198,$C198,0),IF($D198="Per half jaar",IF(MOD(7-$W198,6)=0,$C198,0),IF($D198="Per kwartaal",IF(MOD(7-$W198,3)=0,$C198,0),$F198))))))</f>
        <v/>
      </c>
      <c r="R198" s="107" t="str">
        <f aca="false">IF($C198="","",IF(Dashboard!$C$4="Gemiddeld per maand",$F198,IF(OR($D198="Per maand",$D198="Per week",$D198=""),$F198,IF($D198="Per jaar",IF(8=$W198,$C198,0),IF($D198="Per half jaar",IF(MOD(8-$W198,6)=0,$C198,0),IF($D198="Per kwartaal",IF(MOD(8-$W198,3)=0,$C198,0),$F198))))))</f>
        <v/>
      </c>
      <c r="S198" s="107" t="str">
        <f aca="false">IF($C198="","",IF(Dashboard!$C$4="Gemiddeld per maand",$F198,IF(OR($D198="Per maand",$D198="Per week",$D198=""),$F198,IF($D198="Per jaar",IF(9=$W198,$C198,0),IF($D198="Per half jaar",IF(MOD(9-$W198,6)=0,$C198,0),IF($D198="Per kwartaal",IF(MOD(9-$W198,3)=0,$C198,0),$F198))))))</f>
        <v/>
      </c>
      <c r="T198" s="107" t="str">
        <f aca="false">IF($C198="","",IF(Dashboard!$C$4="Gemiddeld per maand",$F198,IF(OR($D198="Per maand",$D198="Per week",$D198=""),$F198,IF($D198="Per jaar",IF(10=$W198,$C198,0),IF($D198="Per half jaar",IF(MOD(10-$W198,6)=0,$C198,0),IF($D198="Per kwartaal",IF(MOD(10-$W198,3)=0,$C198,0),$F198))))))</f>
        <v/>
      </c>
      <c r="U198" s="107" t="str">
        <f aca="false">IF($C198="","",IF(Dashboard!$C$4="Gemiddeld per maand",$F198,IF(OR($D198="Per maand",$D198="Per week",$D198=""),$F198,IF($D198="Per jaar",IF(11=$W198,$C198,0),IF($D198="Per half jaar",IF(MOD(11-$W198,6)=0,$C198,0),IF($D198="Per kwartaal",IF(MOD(11-$W198,3)=0,$C198,0),$F198))))))</f>
        <v/>
      </c>
      <c r="V198" s="107" t="str">
        <f aca="false">IF($C198="","",IF(Dashboard!$C$4="Gemiddeld per maand",$F198,IF(OR($D198="Per maand",$D198="Per week",$D198=""),$F198,IF($D198="Per jaar",IF(12=$W198,$C198,0),IF($D198="Per half jaar",IF(MOD(12-$W198,6)=0,$C198,0),IF($D198="Per kwartaal",IF(MOD(12-$W198,3)=0,$C198,0),$F198))))))</f>
        <v/>
      </c>
      <c r="W198" s="15" t="n">
        <f aca="false">IF($E198="",1,IFERROR(MATCH($E198,Lijsten!$K$6:$K$17,0),1))</f>
        <v>1</v>
      </c>
    </row>
    <row r="199" customFormat="false" ht="15" hidden="false" customHeight="false" outlineLevel="0" collapsed="false">
      <c r="A199" s="102"/>
      <c r="B199" s="102"/>
      <c r="C199" s="92"/>
      <c r="D199" s="102"/>
      <c r="E199" s="103"/>
      <c r="F199" s="104" t="str">
        <f aca="false">IF($C199="","",IF($D199="Per jaar",$C199/12,IF($D199="Per kwartaal",$C199/3,IF($D199="Per half jaar",$C199/6,IF($D199="Per week",$C199*52/12,$C199)))))</f>
        <v/>
      </c>
      <c r="G199" s="102"/>
      <c r="H199" s="103"/>
      <c r="I199" s="105"/>
      <c r="J199" s="106" t="str">
        <f aca="false">IF($C199="","",IF(Dashboard!$C$4="Gemiddeld per maand",$F199,IF(OR($D199="Per maand",$D199="Per week",$D199=""),$F199,IF($D199="Per jaar",IF(Dashboard!$N$2=$W199,$C199,0),IF($D199="Per half jaar",IF(MOD(Dashboard!$N$2-$W199,6)=0,$C199,0),IF($D199="Per kwartaal",IF(MOD(Dashboard!$N$2-$W199,3)=0,$C199,0),$F199))))))</f>
        <v/>
      </c>
      <c r="K199" s="107" t="str">
        <f aca="false">IF($C199="","",IF(Dashboard!$C$4="Gemiddeld per maand",$F199,IF(OR($D199="Per maand",$D199="Per week",$D199=""),$F199,IF($D199="Per jaar",IF(1=$W199,$C199,0),IF($D199="Per half jaar",IF(MOD(1-$W199,6)=0,$C199,0),IF($D199="Per kwartaal",IF(MOD(1-$W199,3)=0,$C199,0),$F199))))))</f>
        <v/>
      </c>
      <c r="L199" s="107" t="str">
        <f aca="false">IF($C199="","",IF(Dashboard!$C$4="Gemiddeld per maand",$F199,IF(OR($D199="Per maand",$D199="Per week",$D199=""),$F199,IF($D199="Per jaar",IF(2=$W199,$C199,0),IF($D199="Per half jaar",IF(MOD(2-$W199,6)=0,$C199,0),IF($D199="Per kwartaal",IF(MOD(2-$W199,3)=0,$C199,0),$F199))))))</f>
        <v/>
      </c>
      <c r="M199" s="107" t="str">
        <f aca="false">IF($C199="","",IF(Dashboard!$C$4="Gemiddeld per maand",$F199,IF(OR($D199="Per maand",$D199="Per week",$D199=""),$F199,IF($D199="Per jaar",IF(3=$W199,$C199,0),IF($D199="Per half jaar",IF(MOD(3-$W199,6)=0,$C199,0),IF($D199="Per kwartaal",IF(MOD(3-$W199,3)=0,$C199,0),$F199))))))</f>
        <v/>
      </c>
      <c r="N199" s="107" t="str">
        <f aca="false">IF($C199="","",IF(Dashboard!$C$4="Gemiddeld per maand",$F199,IF(OR($D199="Per maand",$D199="Per week",$D199=""),$F199,IF($D199="Per jaar",IF(4=$W199,$C199,0),IF($D199="Per half jaar",IF(MOD(4-$W199,6)=0,$C199,0),IF($D199="Per kwartaal",IF(MOD(4-$W199,3)=0,$C199,0),$F199))))))</f>
        <v/>
      </c>
      <c r="O199" s="107" t="str">
        <f aca="false">IF($C199="","",IF(Dashboard!$C$4="Gemiddeld per maand",$F199,IF(OR($D199="Per maand",$D199="Per week",$D199=""),$F199,IF($D199="Per jaar",IF(5=$W199,$C199,0),IF($D199="Per half jaar",IF(MOD(5-$W199,6)=0,$C199,0),IF($D199="Per kwartaal",IF(MOD(5-$W199,3)=0,$C199,0),$F199))))))</f>
        <v/>
      </c>
      <c r="P199" s="107" t="str">
        <f aca="false">IF($C199="","",IF(Dashboard!$C$4="Gemiddeld per maand",$F199,IF(OR($D199="Per maand",$D199="Per week",$D199=""),$F199,IF($D199="Per jaar",IF(6=$W199,$C199,0),IF($D199="Per half jaar",IF(MOD(6-$W199,6)=0,$C199,0),IF($D199="Per kwartaal",IF(MOD(6-$W199,3)=0,$C199,0),$F199))))))</f>
        <v/>
      </c>
      <c r="Q199" s="107" t="str">
        <f aca="false">IF($C199="","",IF(Dashboard!$C$4="Gemiddeld per maand",$F199,IF(OR($D199="Per maand",$D199="Per week",$D199=""),$F199,IF($D199="Per jaar",IF(7=$W199,$C199,0),IF($D199="Per half jaar",IF(MOD(7-$W199,6)=0,$C199,0),IF($D199="Per kwartaal",IF(MOD(7-$W199,3)=0,$C199,0),$F199))))))</f>
        <v/>
      </c>
      <c r="R199" s="107" t="str">
        <f aca="false">IF($C199="","",IF(Dashboard!$C$4="Gemiddeld per maand",$F199,IF(OR($D199="Per maand",$D199="Per week",$D199=""),$F199,IF($D199="Per jaar",IF(8=$W199,$C199,0),IF($D199="Per half jaar",IF(MOD(8-$W199,6)=0,$C199,0),IF($D199="Per kwartaal",IF(MOD(8-$W199,3)=0,$C199,0),$F199))))))</f>
        <v/>
      </c>
      <c r="S199" s="107" t="str">
        <f aca="false">IF($C199="","",IF(Dashboard!$C$4="Gemiddeld per maand",$F199,IF(OR($D199="Per maand",$D199="Per week",$D199=""),$F199,IF($D199="Per jaar",IF(9=$W199,$C199,0),IF($D199="Per half jaar",IF(MOD(9-$W199,6)=0,$C199,0),IF($D199="Per kwartaal",IF(MOD(9-$W199,3)=0,$C199,0),$F199))))))</f>
        <v/>
      </c>
      <c r="T199" s="107" t="str">
        <f aca="false">IF($C199="","",IF(Dashboard!$C$4="Gemiddeld per maand",$F199,IF(OR($D199="Per maand",$D199="Per week",$D199=""),$F199,IF($D199="Per jaar",IF(10=$W199,$C199,0),IF($D199="Per half jaar",IF(MOD(10-$W199,6)=0,$C199,0),IF($D199="Per kwartaal",IF(MOD(10-$W199,3)=0,$C199,0),$F199))))))</f>
        <v/>
      </c>
      <c r="U199" s="107" t="str">
        <f aca="false">IF($C199="","",IF(Dashboard!$C$4="Gemiddeld per maand",$F199,IF(OR($D199="Per maand",$D199="Per week",$D199=""),$F199,IF($D199="Per jaar",IF(11=$W199,$C199,0),IF($D199="Per half jaar",IF(MOD(11-$W199,6)=0,$C199,0),IF($D199="Per kwartaal",IF(MOD(11-$W199,3)=0,$C199,0),$F199))))))</f>
        <v/>
      </c>
      <c r="V199" s="107" t="str">
        <f aca="false">IF($C199="","",IF(Dashboard!$C$4="Gemiddeld per maand",$F199,IF(OR($D199="Per maand",$D199="Per week",$D199=""),$F199,IF($D199="Per jaar",IF(12=$W199,$C199,0),IF($D199="Per half jaar",IF(MOD(12-$W199,6)=0,$C199,0),IF($D199="Per kwartaal",IF(MOD(12-$W199,3)=0,$C199,0),$F199))))))</f>
        <v/>
      </c>
      <c r="W199" s="15" t="n">
        <f aca="false">IF($E199="",1,IFERROR(MATCH($E199,Lijsten!$K$6:$K$17,0),1))</f>
        <v>1</v>
      </c>
    </row>
    <row r="200" customFormat="false" ht="15" hidden="false" customHeight="false" outlineLevel="0" collapsed="false">
      <c r="A200" s="102"/>
      <c r="B200" s="102"/>
      <c r="C200" s="92"/>
      <c r="D200" s="102"/>
      <c r="E200" s="103"/>
      <c r="F200" s="104" t="str">
        <f aca="false">IF($C200="","",IF($D200="Per jaar",$C200/12,IF($D200="Per kwartaal",$C200/3,IF($D200="Per half jaar",$C200/6,IF($D200="Per week",$C200*52/12,$C200)))))</f>
        <v/>
      </c>
      <c r="G200" s="102"/>
      <c r="H200" s="103"/>
      <c r="I200" s="105"/>
      <c r="J200" s="106" t="str">
        <f aca="false">IF($C200="","",IF(Dashboard!$C$4="Gemiddeld per maand",$F200,IF(OR($D200="Per maand",$D200="Per week",$D200=""),$F200,IF($D200="Per jaar",IF(Dashboard!$N$2=$W200,$C200,0),IF($D200="Per half jaar",IF(MOD(Dashboard!$N$2-$W200,6)=0,$C200,0),IF($D200="Per kwartaal",IF(MOD(Dashboard!$N$2-$W200,3)=0,$C200,0),$F200))))))</f>
        <v/>
      </c>
      <c r="K200" s="107" t="str">
        <f aca="false">IF($C200="","",IF(Dashboard!$C$4="Gemiddeld per maand",$F200,IF(OR($D200="Per maand",$D200="Per week",$D200=""),$F200,IF($D200="Per jaar",IF(1=$W200,$C200,0),IF($D200="Per half jaar",IF(MOD(1-$W200,6)=0,$C200,0),IF($D200="Per kwartaal",IF(MOD(1-$W200,3)=0,$C200,0),$F200))))))</f>
        <v/>
      </c>
      <c r="L200" s="107" t="str">
        <f aca="false">IF($C200="","",IF(Dashboard!$C$4="Gemiddeld per maand",$F200,IF(OR($D200="Per maand",$D200="Per week",$D200=""),$F200,IF($D200="Per jaar",IF(2=$W200,$C200,0),IF($D200="Per half jaar",IF(MOD(2-$W200,6)=0,$C200,0),IF($D200="Per kwartaal",IF(MOD(2-$W200,3)=0,$C200,0),$F200))))))</f>
        <v/>
      </c>
      <c r="M200" s="107" t="str">
        <f aca="false">IF($C200="","",IF(Dashboard!$C$4="Gemiddeld per maand",$F200,IF(OR($D200="Per maand",$D200="Per week",$D200=""),$F200,IF($D200="Per jaar",IF(3=$W200,$C200,0),IF($D200="Per half jaar",IF(MOD(3-$W200,6)=0,$C200,0),IF($D200="Per kwartaal",IF(MOD(3-$W200,3)=0,$C200,0),$F200))))))</f>
        <v/>
      </c>
      <c r="N200" s="107" t="str">
        <f aca="false">IF($C200="","",IF(Dashboard!$C$4="Gemiddeld per maand",$F200,IF(OR($D200="Per maand",$D200="Per week",$D200=""),$F200,IF($D200="Per jaar",IF(4=$W200,$C200,0),IF($D200="Per half jaar",IF(MOD(4-$W200,6)=0,$C200,0),IF($D200="Per kwartaal",IF(MOD(4-$W200,3)=0,$C200,0),$F200))))))</f>
        <v/>
      </c>
      <c r="O200" s="107" t="str">
        <f aca="false">IF($C200="","",IF(Dashboard!$C$4="Gemiddeld per maand",$F200,IF(OR($D200="Per maand",$D200="Per week",$D200=""),$F200,IF($D200="Per jaar",IF(5=$W200,$C200,0),IF($D200="Per half jaar",IF(MOD(5-$W200,6)=0,$C200,0),IF($D200="Per kwartaal",IF(MOD(5-$W200,3)=0,$C200,0),$F200))))))</f>
        <v/>
      </c>
      <c r="P200" s="107" t="str">
        <f aca="false">IF($C200="","",IF(Dashboard!$C$4="Gemiddeld per maand",$F200,IF(OR($D200="Per maand",$D200="Per week",$D200=""),$F200,IF($D200="Per jaar",IF(6=$W200,$C200,0),IF($D200="Per half jaar",IF(MOD(6-$W200,6)=0,$C200,0),IF($D200="Per kwartaal",IF(MOD(6-$W200,3)=0,$C200,0),$F200))))))</f>
        <v/>
      </c>
      <c r="Q200" s="107" t="str">
        <f aca="false">IF($C200="","",IF(Dashboard!$C$4="Gemiddeld per maand",$F200,IF(OR($D200="Per maand",$D200="Per week",$D200=""),$F200,IF($D200="Per jaar",IF(7=$W200,$C200,0),IF($D200="Per half jaar",IF(MOD(7-$W200,6)=0,$C200,0),IF($D200="Per kwartaal",IF(MOD(7-$W200,3)=0,$C200,0),$F200))))))</f>
        <v/>
      </c>
      <c r="R200" s="107" t="str">
        <f aca="false">IF($C200="","",IF(Dashboard!$C$4="Gemiddeld per maand",$F200,IF(OR($D200="Per maand",$D200="Per week",$D200=""),$F200,IF($D200="Per jaar",IF(8=$W200,$C200,0),IF($D200="Per half jaar",IF(MOD(8-$W200,6)=0,$C200,0),IF($D200="Per kwartaal",IF(MOD(8-$W200,3)=0,$C200,0),$F200))))))</f>
        <v/>
      </c>
      <c r="S200" s="107" t="str">
        <f aca="false">IF($C200="","",IF(Dashboard!$C$4="Gemiddeld per maand",$F200,IF(OR($D200="Per maand",$D200="Per week",$D200=""),$F200,IF($D200="Per jaar",IF(9=$W200,$C200,0),IF($D200="Per half jaar",IF(MOD(9-$W200,6)=0,$C200,0),IF($D200="Per kwartaal",IF(MOD(9-$W200,3)=0,$C200,0),$F200))))))</f>
        <v/>
      </c>
      <c r="T200" s="107" t="str">
        <f aca="false">IF($C200="","",IF(Dashboard!$C$4="Gemiddeld per maand",$F200,IF(OR($D200="Per maand",$D200="Per week",$D200=""),$F200,IF($D200="Per jaar",IF(10=$W200,$C200,0),IF($D200="Per half jaar",IF(MOD(10-$W200,6)=0,$C200,0),IF($D200="Per kwartaal",IF(MOD(10-$W200,3)=0,$C200,0),$F200))))))</f>
        <v/>
      </c>
      <c r="U200" s="107" t="str">
        <f aca="false">IF($C200="","",IF(Dashboard!$C$4="Gemiddeld per maand",$F200,IF(OR($D200="Per maand",$D200="Per week",$D200=""),$F200,IF($D200="Per jaar",IF(11=$W200,$C200,0),IF($D200="Per half jaar",IF(MOD(11-$W200,6)=0,$C200,0),IF($D200="Per kwartaal",IF(MOD(11-$W200,3)=0,$C200,0),$F200))))))</f>
        <v/>
      </c>
      <c r="V200" s="107" t="str">
        <f aca="false">IF($C200="","",IF(Dashboard!$C$4="Gemiddeld per maand",$F200,IF(OR($D200="Per maand",$D200="Per week",$D200=""),$F200,IF($D200="Per jaar",IF(12=$W200,$C200,0),IF($D200="Per half jaar",IF(MOD(12-$W200,6)=0,$C200,0),IF($D200="Per kwartaal",IF(MOD(12-$W200,3)=0,$C200,0),$F200))))))</f>
        <v/>
      </c>
      <c r="W200" s="15" t="n">
        <f aca="false">IF($E200="",1,IFERROR(MATCH($E200,Lijsten!$K$6:$K$17,0),1))</f>
        <v>1</v>
      </c>
    </row>
    <row r="201" customFormat="false" ht="15" hidden="false" customHeight="false" outlineLevel="0" collapsed="false">
      <c r="A201" s="102"/>
      <c r="B201" s="102"/>
      <c r="C201" s="92"/>
      <c r="D201" s="102"/>
      <c r="E201" s="103"/>
      <c r="F201" s="104" t="str">
        <f aca="false">IF($C201="","",IF($D201="Per jaar",$C201/12,IF($D201="Per kwartaal",$C201/3,IF($D201="Per half jaar",$C201/6,IF($D201="Per week",$C201*52/12,$C201)))))</f>
        <v/>
      </c>
      <c r="G201" s="102"/>
      <c r="H201" s="103"/>
      <c r="I201" s="105"/>
      <c r="J201" s="106" t="str">
        <f aca="false">IF($C201="","",IF(Dashboard!$C$4="Gemiddeld per maand",$F201,IF(OR($D201="Per maand",$D201="Per week",$D201=""),$F201,IF($D201="Per jaar",IF(Dashboard!$N$2=$W201,$C201,0),IF($D201="Per half jaar",IF(MOD(Dashboard!$N$2-$W201,6)=0,$C201,0),IF($D201="Per kwartaal",IF(MOD(Dashboard!$N$2-$W201,3)=0,$C201,0),$F201))))))</f>
        <v/>
      </c>
      <c r="K201" s="107" t="str">
        <f aca="false">IF($C201="","",IF(Dashboard!$C$4="Gemiddeld per maand",$F201,IF(OR($D201="Per maand",$D201="Per week",$D201=""),$F201,IF($D201="Per jaar",IF(1=$W201,$C201,0),IF($D201="Per half jaar",IF(MOD(1-$W201,6)=0,$C201,0),IF($D201="Per kwartaal",IF(MOD(1-$W201,3)=0,$C201,0),$F201))))))</f>
        <v/>
      </c>
      <c r="L201" s="107" t="str">
        <f aca="false">IF($C201="","",IF(Dashboard!$C$4="Gemiddeld per maand",$F201,IF(OR($D201="Per maand",$D201="Per week",$D201=""),$F201,IF($D201="Per jaar",IF(2=$W201,$C201,0),IF($D201="Per half jaar",IF(MOD(2-$W201,6)=0,$C201,0),IF($D201="Per kwartaal",IF(MOD(2-$W201,3)=0,$C201,0),$F201))))))</f>
        <v/>
      </c>
      <c r="M201" s="107" t="str">
        <f aca="false">IF($C201="","",IF(Dashboard!$C$4="Gemiddeld per maand",$F201,IF(OR($D201="Per maand",$D201="Per week",$D201=""),$F201,IF($D201="Per jaar",IF(3=$W201,$C201,0),IF($D201="Per half jaar",IF(MOD(3-$W201,6)=0,$C201,0),IF($D201="Per kwartaal",IF(MOD(3-$W201,3)=0,$C201,0),$F201))))))</f>
        <v/>
      </c>
      <c r="N201" s="107" t="str">
        <f aca="false">IF($C201="","",IF(Dashboard!$C$4="Gemiddeld per maand",$F201,IF(OR($D201="Per maand",$D201="Per week",$D201=""),$F201,IF($D201="Per jaar",IF(4=$W201,$C201,0),IF($D201="Per half jaar",IF(MOD(4-$W201,6)=0,$C201,0),IF($D201="Per kwartaal",IF(MOD(4-$W201,3)=0,$C201,0),$F201))))))</f>
        <v/>
      </c>
      <c r="O201" s="107" t="str">
        <f aca="false">IF($C201="","",IF(Dashboard!$C$4="Gemiddeld per maand",$F201,IF(OR($D201="Per maand",$D201="Per week",$D201=""),$F201,IF($D201="Per jaar",IF(5=$W201,$C201,0),IF($D201="Per half jaar",IF(MOD(5-$W201,6)=0,$C201,0),IF($D201="Per kwartaal",IF(MOD(5-$W201,3)=0,$C201,0),$F201))))))</f>
        <v/>
      </c>
      <c r="P201" s="107" t="str">
        <f aca="false">IF($C201="","",IF(Dashboard!$C$4="Gemiddeld per maand",$F201,IF(OR($D201="Per maand",$D201="Per week",$D201=""),$F201,IF($D201="Per jaar",IF(6=$W201,$C201,0),IF($D201="Per half jaar",IF(MOD(6-$W201,6)=0,$C201,0),IF($D201="Per kwartaal",IF(MOD(6-$W201,3)=0,$C201,0),$F201))))))</f>
        <v/>
      </c>
      <c r="Q201" s="107" t="str">
        <f aca="false">IF($C201="","",IF(Dashboard!$C$4="Gemiddeld per maand",$F201,IF(OR($D201="Per maand",$D201="Per week",$D201=""),$F201,IF($D201="Per jaar",IF(7=$W201,$C201,0),IF($D201="Per half jaar",IF(MOD(7-$W201,6)=0,$C201,0),IF($D201="Per kwartaal",IF(MOD(7-$W201,3)=0,$C201,0),$F201))))))</f>
        <v/>
      </c>
      <c r="R201" s="107" t="str">
        <f aca="false">IF($C201="","",IF(Dashboard!$C$4="Gemiddeld per maand",$F201,IF(OR($D201="Per maand",$D201="Per week",$D201=""),$F201,IF($D201="Per jaar",IF(8=$W201,$C201,0),IF($D201="Per half jaar",IF(MOD(8-$W201,6)=0,$C201,0),IF($D201="Per kwartaal",IF(MOD(8-$W201,3)=0,$C201,0),$F201))))))</f>
        <v/>
      </c>
      <c r="S201" s="107" t="str">
        <f aca="false">IF($C201="","",IF(Dashboard!$C$4="Gemiddeld per maand",$F201,IF(OR($D201="Per maand",$D201="Per week",$D201=""),$F201,IF($D201="Per jaar",IF(9=$W201,$C201,0),IF($D201="Per half jaar",IF(MOD(9-$W201,6)=0,$C201,0),IF($D201="Per kwartaal",IF(MOD(9-$W201,3)=0,$C201,0),$F201))))))</f>
        <v/>
      </c>
      <c r="T201" s="107" t="str">
        <f aca="false">IF($C201="","",IF(Dashboard!$C$4="Gemiddeld per maand",$F201,IF(OR($D201="Per maand",$D201="Per week",$D201=""),$F201,IF($D201="Per jaar",IF(10=$W201,$C201,0),IF($D201="Per half jaar",IF(MOD(10-$W201,6)=0,$C201,0),IF($D201="Per kwartaal",IF(MOD(10-$W201,3)=0,$C201,0),$F201))))))</f>
        <v/>
      </c>
      <c r="U201" s="107" t="str">
        <f aca="false">IF($C201="","",IF(Dashboard!$C$4="Gemiddeld per maand",$F201,IF(OR($D201="Per maand",$D201="Per week",$D201=""),$F201,IF($D201="Per jaar",IF(11=$W201,$C201,0),IF($D201="Per half jaar",IF(MOD(11-$W201,6)=0,$C201,0),IF($D201="Per kwartaal",IF(MOD(11-$W201,3)=0,$C201,0),$F201))))))</f>
        <v/>
      </c>
      <c r="V201" s="107" t="str">
        <f aca="false">IF($C201="","",IF(Dashboard!$C$4="Gemiddeld per maand",$F201,IF(OR($D201="Per maand",$D201="Per week",$D201=""),$F201,IF($D201="Per jaar",IF(12=$W201,$C201,0),IF($D201="Per half jaar",IF(MOD(12-$W201,6)=0,$C201,0),IF($D201="Per kwartaal",IF(MOD(12-$W201,3)=0,$C201,0),$F201))))))</f>
        <v/>
      </c>
      <c r="W201" s="15" t="n">
        <f aca="false">IF($E201="",1,IFERROR(MATCH($E201,Lijsten!$K$6:$K$17,0),1))</f>
        <v>1</v>
      </c>
    </row>
    <row r="202" customFormat="false" ht="15" hidden="false" customHeight="false" outlineLevel="0" collapsed="false">
      <c r="A202" s="102"/>
      <c r="B202" s="102"/>
      <c r="C202" s="92"/>
      <c r="D202" s="102"/>
      <c r="E202" s="103"/>
      <c r="F202" s="104" t="str">
        <f aca="false">IF($C202="","",IF($D202="Per jaar",$C202/12,IF($D202="Per kwartaal",$C202/3,IF($D202="Per half jaar",$C202/6,IF($D202="Per week",$C202*52/12,$C202)))))</f>
        <v/>
      </c>
      <c r="G202" s="102"/>
      <c r="H202" s="103"/>
      <c r="I202" s="105"/>
      <c r="J202" s="106" t="str">
        <f aca="false">IF($C202="","",IF(Dashboard!$C$4="Gemiddeld per maand",$F202,IF(OR($D202="Per maand",$D202="Per week",$D202=""),$F202,IF($D202="Per jaar",IF(Dashboard!$N$2=$W202,$C202,0),IF($D202="Per half jaar",IF(MOD(Dashboard!$N$2-$W202,6)=0,$C202,0),IF($D202="Per kwartaal",IF(MOD(Dashboard!$N$2-$W202,3)=0,$C202,0),$F202))))))</f>
        <v/>
      </c>
      <c r="K202" s="107" t="str">
        <f aca="false">IF($C202="","",IF(Dashboard!$C$4="Gemiddeld per maand",$F202,IF(OR($D202="Per maand",$D202="Per week",$D202=""),$F202,IF($D202="Per jaar",IF(1=$W202,$C202,0),IF($D202="Per half jaar",IF(MOD(1-$W202,6)=0,$C202,0),IF($D202="Per kwartaal",IF(MOD(1-$W202,3)=0,$C202,0),$F202))))))</f>
        <v/>
      </c>
      <c r="L202" s="107" t="str">
        <f aca="false">IF($C202="","",IF(Dashboard!$C$4="Gemiddeld per maand",$F202,IF(OR($D202="Per maand",$D202="Per week",$D202=""),$F202,IF($D202="Per jaar",IF(2=$W202,$C202,0),IF($D202="Per half jaar",IF(MOD(2-$W202,6)=0,$C202,0),IF($D202="Per kwartaal",IF(MOD(2-$W202,3)=0,$C202,0),$F202))))))</f>
        <v/>
      </c>
      <c r="M202" s="107" t="str">
        <f aca="false">IF($C202="","",IF(Dashboard!$C$4="Gemiddeld per maand",$F202,IF(OR($D202="Per maand",$D202="Per week",$D202=""),$F202,IF($D202="Per jaar",IF(3=$W202,$C202,0),IF($D202="Per half jaar",IF(MOD(3-$W202,6)=0,$C202,0),IF($D202="Per kwartaal",IF(MOD(3-$W202,3)=0,$C202,0),$F202))))))</f>
        <v/>
      </c>
      <c r="N202" s="107" t="str">
        <f aca="false">IF($C202="","",IF(Dashboard!$C$4="Gemiddeld per maand",$F202,IF(OR($D202="Per maand",$D202="Per week",$D202=""),$F202,IF($D202="Per jaar",IF(4=$W202,$C202,0),IF($D202="Per half jaar",IF(MOD(4-$W202,6)=0,$C202,0),IF($D202="Per kwartaal",IF(MOD(4-$W202,3)=0,$C202,0),$F202))))))</f>
        <v/>
      </c>
      <c r="O202" s="107" t="str">
        <f aca="false">IF($C202="","",IF(Dashboard!$C$4="Gemiddeld per maand",$F202,IF(OR($D202="Per maand",$D202="Per week",$D202=""),$F202,IF($D202="Per jaar",IF(5=$W202,$C202,0),IF($D202="Per half jaar",IF(MOD(5-$W202,6)=0,$C202,0),IF($D202="Per kwartaal",IF(MOD(5-$W202,3)=0,$C202,0),$F202))))))</f>
        <v/>
      </c>
      <c r="P202" s="107" t="str">
        <f aca="false">IF($C202="","",IF(Dashboard!$C$4="Gemiddeld per maand",$F202,IF(OR($D202="Per maand",$D202="Per week",$D202=""),$F202,IF($D202="Per jaar",IF(6=$W202,$C202,0),IF($D202="Per half jaar",IF(MOD(6-$W202,6)=0,$C202,0),IF($D202="Per kwartaal",IF(MOD(6-$W202,3)=0,$C202,0),$F202))))))</f>
        <v/>
      </c>
      <c r="Q202" s="107" t="str">
        <f aca="false">IF($C202="","",IF(Dashboard!$C$4="Gemiddeld per maand",$F202,IF(OR($D202="Per maand",$D202="Per week",$D202=""),$F202,IF($D202="Per jaar",IF(7=$W202,$C202,0),IF($D202="Per half jaar",IF(MOD(7-$W202,6)=0,$C202,0),IF($D202="Per kwartaal",IF(MOD(7-$W202,3)=0,$C202,0),$F202))))))</f>
        <v/>
      </c>
      <c r="R202" s="107" t="str">
        <f aca="false">IF($C202="","",IF(Dashboard!$C$4="Gemiddeld per maand",$F202,IF(OR($D202="Per maand",$D202="Per week",$D202=""),$F202,IF($D202="Per jaar",IF(8=$W202,$C202,0),IF($D202="Per half jaar",IF(MOD(8-$W202,6)=0,$C202,0),IF($D202="Per kwartaal",IF(MOD(8-$W202,3)=0,$C202,0),$F202))))))</f>
        <v/>
      </c>
      <c r="S202" s="107" t="str">
        <f aca="false">IF($C202="","",IF(Dashboard!$C$4="Gemiddeld per maand",$F202,IF(OR($D202="Per maand",$D202="Per week",$D202=""),$F202,IF($D202="Per jaar",IF(9=$W202,$C202,0),IF($D202="Per half jaar",IF(MOD(9-$W202,6)=0,$C202,0),IF($D202="Per kwartaal",IF(MOD(9-$W202,3)=0,$C202,0),$F202))))))</f>
        <v/>
      </c>
      <c r="T202" s="107" t="str">
        <f aca="false">IF($C202="","",IF(Dashboard!$C$4="Gemiddeld per maand",$F202,IF(OR($D202="Per maand",$D202="Per week",$D202=""),$F202,IF($D202="Per jaar",IF(10=$W202,$C202,0),IF($D202="Per half jaar",IF(MOD(10-$W202,6)=0,$C202,0),IF($D202="Per kwartaal",IF(MOD(10-$W202,3)=0,$C202,0),$F202))))))</f>
        <v/>
      </c>
      <c r="U202" s="107" t="str">
        <f aca="false">IF($C202="","",IF(Dashboard!$C$4="Gemiddeld per maand",$F202,IF(OR($D202="Per maand",$D202="Per week",$D202=""),$F202,IF($D202="Per jaar",IF(11=$W202,$C202,0),IF($D202="Per half jaar",IF(MOD(11-$W202,6)=0,$C202,0),IF($D202="Per kwartaal",IF(MOD(11-$W202,3)=0,$C202,0),$F202))))))</f>
        <v/>
      </c>
      <c r="V202" s="107" t="str">
        <f aca="false">IF($C202="","",IF(Dashboard!$C$4="Gemiddeld per maand",$F202,IF(OR($D202="Per maand",$D202="Per week",$D202=""),$F202,IF($D202="Per jaar",IF(12=$W202,$C202,0),IF($D202="Per half jaar",IF(MOD(12-$W202,6)=0,$C202,0),IF($D202="Per kwartaal",IF(MOD(12-$W202,3)=0,$C202,0),$F202))))))</f>
        <v/>
      </c>
      <c r="W202" s="15" t="n">
        <f aca="false">IF($E202="",1,IFERROR(MATCH($E202,Lijsten!$K$6:$K$17,0),1))</f>
        <v>1</v>
      </c>
    </row>
    <row r="203" customFormat="false" ht="15" hidden="false" customHeight="false" outlineLevel="0" collapsed="false">
      <c r="A203" s="102"/>
      <c r="B203" s="102"/>
      <c r="C203" s="92"/>
      <c r="D203" s="102"/>
      <c r="E203" s="103"/>
      <c r="F203" s="104" t="str">
        <f aca="false">IF($C203="","",IF($D203="Per jaar",$C203/12,IF($D203="Per kwartaal",$C203/3,IF($D203="Per half jaar",$C203/6,IF($D203="Per week",$C203*52/12,$C203)))))</f>
        <v/>
      </c>
      <c r="G203" s="102"/>
      <c r="H203" s="103"/>
      <c r="I203" s="105"/>
      <c r="J203" s="106" t="str">
        <f aca="false">IF($C203="","",IF(Dashboard!$C$4="Gemiddeld per maand",$F203,IF(OR($D203="Per maand",$D203="Per week",$D203=""),$F203,IF($D203="Per jaar",IF(Dashboard!$N$2=$W203,$C203,0),IF($D203="Per half jaar",IF(MOD(Dashboard!$N$2-$W203,6)=0,$C203,0),IF($D203="Per kwartaal",IF(MOD(Dashboard!$N$2-$W203,3)=0,$C203,0),$F203))))))</f>
        <v/>
      </c>
      <c r="K203" s="107" t="str">
        <f aca="false">IF($C203="","",IF(Dashboard!$C$4="Gemiddeld per maand",$F203,IF(OR($D203="Per maand",$D203="Per week",$D203=""),$F203,IF($D203="Per jaar",IF(1=$W203,$C203,0),IF($D203="Per half jaar",IF(MOD(1-$W203,6)=0,$C203,0),IF($D203="Per kwartaal",IF(MOD(1-$W203,3)=0,$C203,0),$F203))))))</f>
        <v/>
      </c>
      <c r="L203" s="107" t="str">
        <f aca="false">IF($C203="","",IF(Dashboard!$C$4="Gemiddeld per maand",$F203,IF(OR($D203="Per maand",$D203="Per week",$D203=""),$F203,IF($D203="Per jaar",IF(2=$W203,$C203,0),IF($D203="Per half jaar",IF(MOD(2-$W203,6)=0,$C203,0),IF($D203="Per kwartaal",IF(MOD(2-$W203,3)=0,$C203,0),$F203))))))</f>
        <v/>
      </c>
      <c r="M203" s="107" t="str">
        <f aca="false">IF($C203="","",IF(Dashboard!$C$4="Gemiddeld per maand",$F203,IF(OR($D203="Per maand",$D203="Per week",$D203=""),$F203,IF($D203="Per jaar",IF(3=$W203,$C203,0),IF($D203="Per half jaar",IF(MOD(3-$W203,6)=0,$C203,0),IF($D203="Per kwartaal",IF(MOD(3-$W203,3)=0,$C203,0),$F203))))))</f>
        <v/>
      </c>
      <c r="N203" s="107" t="str">
        <f aca="false">IF($C203="","",IF(Dashboard!$C$4="Gemiddeld per maand",$F203,IF(OR($D203="Per maand",$D203="Per week",$D203=""),$F203,IF($D203="Per jaar",IF(4=$W203,$C203,0),IF($D203="Per half jaar",IF(MOD(4-$W203,6)=0,$C203,0),IF($D203="Per kwartaal",IF(MOD(4-$W203,3)=0,$C203,0),$F203))))))</f>
        <v/>
      </c>
      <c r="O203" s="107" t="str">
        <f aca="false">IF($C203="","",IF(Dashboard!$C$4="Gemiddeld per maand",$F203,IF(OR($D203="Per maand",$D203="Per week",$D203=""),$F203,IF($D203="Per jaar",IF(5=$W203,$C203,0),IF($D203="Per half jaar",IF(MOD(5-$W203,6)=0,$C203,0),IF($D203="Per kwartaal",IF(MOD(5-$W203,3)=0,$C203,0),$F203))))))</f>
        <v/>
      </c>
      <c r="P203" s="107" t="str">
        <f aca="false">IF($C203="","",IF(Dashboard!$C$4="Gemiddeld per maand",$F203,IF(OR($D203="Per maand",$D203="Per week",$D203=""),$F203,IF($D203="Per jaar",IF(6=$W203,$C203,0),IF($D203="Per half jaar",IF(MOD(6-$W203,6)=0,$C203,0),IF($D203="Per kwartaal",IF(MOD(6-$W203,3)=0,$C203,0),$F203))))))</f>
        <v/>
      </c>
      <c r="Q203" s="107" t="str">
        <f aca="false">IF($C203="","",IF(Dashboard!$C$4="Gemiddeld per maand",$F203,IF(OR($D203="Per maand",$D203="Per week",$D203=""),$F203,IF($D203="Per jaar",IF(7=$W203,$C203,0),IF($D203="Per half jaar",IF(MOD(7-$W203,6)=0,$C203,0),IF($D203="Per kwartaal",IF(MOD(7-$W203,3)=0,$C203,0),$F203))))))</f>
        <v/>
      </c>
      <c r="R203" s="107" t="str">
        <f aca="false">IF($C203="","",IF(Dashboard!$C$4="Gemiddeld per maand",$F203,IF(OR($D203="Per maand",$D203="Per week",$D203=""),$F203,IF($D203="Per jaar",IF(8=$W203,$C203,0),IF($D203="Per half jaar",IF(MOD(8-$W203,6)=0,$C203,0),IF($D203="Per kwartaal",IF(MOD(8-$W203,3)=0,$C203,0),$F203))))))</f>
        <v/>
      </c>
      <c r="S203" s="107" t="str">
        <f aca="false">IF($C203="","",IF(Dashboard!$C$4="Gemiddeld per maand",$F203,IF(OR($D203="Per maand",$D203="Per week",$D203=""),$F203,IF($D203="Per jaar",IF(9=$W203,$C203,0),IF($D203="Per half jaar",IF(MOD(9-$W203,6)=0,$C203,0),IF($D203="Per kwartaal",IF(MOD(9-$W203,3)=0,$C203,0),$F203))))))</f>
        <v/>
      </c>
      <c r="T203" s="107" t="str">
        <f aca="false">IF($C203="","",IF(Dashboard!$C$4="Gemiddeld per maand",$F203,IF(OR($D203="Per maand",$D203="Per week",$D203=""),$F203,IF($D203="Per jaar",IF(10=$W203,$C203,0),IF($D203="Per half jaar",IF(MOD(10-$W203,6)=0,$C203,0),IF($D203="Per kwartaal",IF(MOD(10-$W203,3)=0,$C203,0),$F203))))))</f>
        <v/>
      </c>
      <c r="U203" s="107" t="str">
        <f aca="false">IF($C203="","",IF(Dashboard!$C$4="Gemiddeld per maand",$F203,IF(OR($D203="Per maand",$D203="Per week",$D203=""),$F203,IF($D203="Per jaar",IF(11=$W203,$C203,0),IF($D203="Per half jaar",IF(MOD(11-$W203,6)=0,$C203,0),IF($D203="Per kwartaal",IF(MOD(11-$W203,3)=0,$C203,0),$F203))))))</f>
        <v/>
      </c>
      <c r="V203" s="107" t="str">
        <f aca="false">IF($C203="","",IF(Dashboard!$C$4="Gemiddeld per maand",$F203,IF(OR($D203="Per maand",$D203="Per week",$D203=""),$F203,IF($D203="Per jaar",IF(12=$W203,$C203,0),IF($D203="Per half jaar",IF(MOD(12-$W203,6)=0,$C203,0),IF($D203="Per kwartaal",IF(MOD(12-$W203,3)=0,$C203,0),$F203))))))</f>
        <v/>
      </c>
      <c r="W203" s="15" t="n">
        <f aca="false">IF($E203="",1,IFERROR(MATCH($E203,Lijsten!$K$6:$K$17,0),1))</f>
        <v>1</v>
      </c>
    </row>
    <row r="204" customFormat="false" ht="15" hidden="false" customHeight="false" outlineLevel="0" collapsed="false">
      <c r="A204" s="102"/>
      <c r="B204" s="102"/>
      <c r="C204" s="92"/>
      <c r="D204" s="102"/>
      <c r="E204" s="103"/>
      <c r="F204" s="104" t="str">
        <f aca="false">IF($C204="","",IF($D204="Per jaar",$C204/12,IF($D204="Per kwartaal",$C204/3,IF($D204="Per half jaar",$C204/6,IF($D204="Per week",$C204*52/12,$C204)))))</f>
        <v/>
      </c>
      <c r="G204" s="102"/>
      <c r="H204" s="103"/>
      <c r="I204" s="105"/>
      <c r="J204" s="106" t="str">
        <f aca="false">IF($C204="","",IF(Dashboard!$C$4="Gemiddeld per maand",$F204,IF(OR($D204="Per maand",$D204="Per week",$D204=""),$F204,IF($D204="Per jaar",IF(Dashboard!$N$2=$W204,$C204,0),IF($D204="Per half jaar",IF(MOD(Dashboard!$N$2-$W204,6)=0,$C204,0),IF($D204="Per kwartaal",IF(MOD(Dashboard!$N$2-$W204,3)=0,$C204,0),$F204))))))</f>
        <v/>
      </c>
      <c r="K204" s="107" t="str">
        <f aca="false">IF($C204="","",IF(Dashboard!$C$4="Gemiddeld per maand",$F204,IF(OR($D204="Per maand",$D204="Per week",$D204=""),$F204,IF($D204="Per jaar",IF(1=$W204,$C204,0),IF($D204="Per half jaar",IF(MOD(1-$W204,6)=0,$C204,0),IF($D204="Per kwartaal",IF(MOD(1-$W204,3)=0,$C204,0),$F204))))))</f>
        <v/>
      </c>
      <c r="L204" s="107" t="str">
        <f aca="false">IF($C204="","",IF(Dashboard!$C$4="Gemiddeld per maand",$F204,IF(OR($D204="Per maand",$D204="Per week",$D204=""),$F204,IF($D204="Per jaar",IF(2=$W204,$C204,0),IF($D204="Per half jaar",IF(MOD(2-$W204,6)=0,$C204,0),IF($D204="Per kwartaal",IF(MOD(2-$W204,3)=0,$C204,0),$F204))))))</f>
        <v/>
      </c>
      <c r="M204" s="107" t="str">
        <f aca="false">IF($C204="","",IF(Dashboard!$C$4="Gemiddeld per maand",$F204,IF(OR($D204="Per maand",$D204="Per week",$D204=""),$F204,IF($D204="Per jaar",IF(3=$W204,$C204,0),IF($D204="Per half jaar",IF(MOD(3-$W204,6)=0,$C204,0),IF($D204="Per kwartaal",IF(MOD(3-$W204,3)=0,$C204,0),$F204))))))</f>
        <v/>
      </c>
      <c r="N204" s="107" t="str">
        <f aca="false">IF($C204="","",IF(Dashboard!$C$4="Gemiddeld per maand",$F204,IF(OR($D204="Per maand",$D204="Per week",$D204=""),$F204,IF($D204="Per jaar",IF(4=$W204,$C204,0),IF($D204="Per half jaar",IF(MOD(4-$W204,6)=0,$C204,0),IF($D204="Per kwartaal",IF(MOD(4-$W204,3)=0,$C204,0),$F204))))))</f>
        <v/>
      </c>
      <c r="O204" s="107" t="str">
        <f aca="false">IF($C204="","",IF(Dashboard!$C$4="Gemiddeld per maand",$F204,IF(OR($D204="Per maand",$D204="Per week",$D204=""),$F204,IF($D204="Per jaar",IF(5=$W204,$C204,0),IF($D204="Per half jaar",IF(MOD(5-$W204,6)=0,$C204,0),IF($D204="Per kwartaal",IF(MOD(5-$W204,3)=0,$C204,0),$F204))))))</f>
        <v/>
      </c>
      <c r="P204" s="107" t="str">
        <f aca="false">IF($C204="","",IF(Dashboard!$C$4="Gemiddeld per maand",$F204,IF(OR($D204="Per maand",$D204="Per week",$D204=""),$F204,IF($D204="Per jaar",IF(6=$W204,$C204,0),IF($D204="Per half jaar",IF(MOD(6-$W204,6)=0,$C204,0),IF($D204="Per kwartaal",IF(MOD(6-$W204,3)=0,$C204,0),$F204))))))</f>
        <v/>
      </c>
      <c r="Q204" s="107" t="str">
        <f aca="false">IF($C204="","",IF(Dashboard!$C$4="Gemiddeld per maand",$F204,IF(OR($D204="Per maand",$D204="Per week",$D204=""),$F204,IF($D204="Per jaar",IF(7=$W204,$C204,0),IF($D204="Per half jaar",IF(MOD(7-$W204,6)=0,$C204,0),IF($D204="Per kwartaal",IF(MOD(7-$W204,3)=0,$C204,0),$F204))))))</f>
        <v/>
      </c>
      <c r="R204" s="107" t="str">
        <f aca="false">IF($C204="","",IF(Dashboard!$C$4="Gemiddeld per maand",$F204,IF(OR($D204="Per maand",$D204="Per week",$D204=""),$F204,IF($D204="Per jaar",IF(8=$W204,$C204,0),IF($D204="Per half jaar",IF(MOD(8-$W204,6)=0,$C204,0),IF($D204="Per kwartaal",IF(MOD(8-$W204,3)=0,$C204,0),$F204))))))</f>
        <v/>
      </c>
      <c r="S204" s="107" t="str">
        <f aca="false">IF($C204="","",IF(Dashboard!$C$4="Gemiddeld per maand",$F204,IF(OR($D204="Per maand",$D204="Per week",$D204=""),$F204,IF($D204="Per jaar",IF(9=$W204,$C204,0),IF($D204="Per half jaar",IF(MOD(9-$W204,6)=0,$C204,0),IF($D204="Per kwartaal",IF(MOD(9-$W204,3)=0,$C204,0),$F204))))))</f>
        <v/>
      </c>
      <c r="T204" s="107" t="str">
        <f aca="false">IF($C204="","",IF(Dashboard!$C$4="Gemiddeld per maand",$F204,IF(OR($D204="Per maand",$D204="Per week",$D204=""),$F204,IF($D204="Per jaar",IF(10=$W204,$C204,0),IF($D204="Per half jaar",IF(MOD(10-$W204,6)=0,$C204,0),IF($D204="Per kwartaal",IF(MOD(10-$W204,3)=0,$C204,0),$F204))))))</f>
        <v/>
      </c>
      <c r="U204" s="107" t="str">
        <f aca="false">IF($C204="","",IF(Dashboard!$C$4="Gemiddeld per maand",$F204,IF(OR($D204="Per maand",$D204="Per week",$D204=""),$F204,IF($D204="Per jaar",IF(11=$W204,$C204,0),IF($D204="Per half jaar",IF(MOD(11-$W204,6)=0,$C204,0),IF($D204="Per kwartaal",IF(MOD(11-$W204,3)=0,$C204,0),$F204))))))</f>
        <v/>
      </c>
      <c r="V204" s="107" t="str">
        <f aca="false">IF($C204="","",IF(Dashboard!$C$4="Gemiddeld per maand",$F204,IF(OR($D204="Per maand",$D204="Per week",$D204=""),$F204,IF($D204="Per jaar",IF(12=$W204,$C204,0),IF($D204="Per half jaar",IF(MOD(12-$W204,6)=0,$C204,0),IF($D204="Per kwartaal",IF(MOD(12-$W204,3)=0,$C204,0),$F204))))))</f>
        <v/>
      </c>
      <c r="W204" s="15" t="n">
        <f aca="false">IF($E204="",1,IFERROR(MATCH($E204,Lijsten!$K$6:$K$17,0),1))</f>
        <v>1</v>
      </c>
    </row>
    <row r="205" customFormat="false" ht="15" hidden="false" customHeight="false" outlineLevel="0" collapsed="false">
      <c r="A205" s="102"/>
      <c r="B205" s="102"/>
      <c r="C205" s="92"/>
      <c r="D205" s="102"/>
      <c r="E205" s="103"/>
      <c r="F205" s="104" t="str">
        <f aca="false">IF($C205="","",IF($D205="Per jaar",$C205/12,IF($D205="Per kwartaal",$C205/3,IF($D205="Per half jaar",$C205/6,IF($D205="Per week",$C205*52/12,$C205)))))</f>
        <v/>
      </c>
      <c r="G205" s="102"/>
      <c r="H205" s="103"/>
      <c r="I205" s="105"/>
      <c r="J205" s="106" t="str">
        <f aca="false">IF($C205="","",IF(Dashboard!$C$4="Gemiddeld per maand",$F205,IF(OR($D205="Per maand",$D205="Per week",$D205=""),$F205,IF($D205="Per jaar",IF(Dashboard!$N$2=$W205,$C205,0),IF($D205="Per half jaar",IF(MOD(Dashboard!$N$2-$W205,6)=0,$C205,0),IF($D205="Per kwartaal",IF(MOD(Dashboard!$N$2-$W205,3)=0,$C205,0),$F205))))))</f>
        <v/>
      </c>
      <c r="K205" s="107" t="str">
        <f aca="false">IF($C205="","",IF(Dashboard!$C$4="Gemiddeld per maand",$F205,IF(OR($D205="Per maand",$D205="Per week",$D205=""),$F205,IF($D205="Per jaar",IF(1=$W205,$C205,0),IF($D205="Per half jaar",IF(MOD(1-$W205,6)=0,$C205,0),IF($D205="Per kwartaal",IF(MOD(1-$W205,3)=0,$C205,0),$F205))))))</f>
        <v/>
      </c>
      <c r="L205" s="107" t="str">
        <f aca="false">IF($C205="","",IF(Dashboard!$C$4="Gemiddeld per maand",$F205,IF(OR($D205="Per maand",$D205="Per week",$D205=""),$F205,IF($D205="Per jaar",IF(2=$W205,$C205,0),IF($D205="Per half jaar",IF(MOD(2-$W205,6)=0,$C205,0),IF($D205="Per kwartaal",IF(MOD(2-$W205,3)=0,$C205,0),$F205))))))</f>
        <v/>
      </c>
      <c r="M205" s="107" t="str">
        <f aca="false">IF($C205="","",IF(Dashboard!$C$4="Gemiddeld per maand",$F205,IF(OR($D205="Per maand",$D205="Per week",$D205=""),$F205,IF($D205="Per jaar",IF(3=$W205,$C205,0),IF($D205="Per half jaar",IF(MOD(3-$W205,6)=0,$C205,0),IF($D205="Per kwartaal",IF(MOD(3-$W205,3)=0,$C205,0),$F205))))))</f>
        <v/>
      </c>
      <c r="N205" s="107" t="str">
        <f aca="false">IF($C205="","",IF(Dashboard!$C$4="Gemiddeld per maand",$F205,IF(OR($D205="Per maand",$D205="Per week",$D205=""),$F205,IF($D205="Per jaar",IF(4=$W205,$C205,0),IF($D205="Per half jaar",IF(MOD(4-$W205,6)=0,$C205,0),IF($D205="Per kwartaal",IF(MOD(4-$W205,3)=0,$C205,0),$F205))))))</f>
        <v/>
      </c>
      <c r="O205" s="107" t="str">
        <f aca="false">IF($C205="","",IF(Dashboard!$C$4="Gemiddeld per maand",$F205,IF(OR($D205="Per maand",$D205="Per week",$D205=""),$F205,IF($D205="Per jaar",IF(5=$W205,$C205,0),IF($D205="Per half jaar",IF(MOD(5-$W205,6)=0,$C205,0),IF($D205="Per kwartaal",IF(MOD(5-$W205,3)=0,$C205,0),$F205))))))</f>
        <v/>
      </c>
      <c r="P205" s="107" t="str">
        <f aca="false">IF($C205="","",IF(Dashboard!$C$4="Gemiddeld per maand",$F205,IF(OR($D205="Per maand",$D205="Per week",$D205=""),$F205,IF($D205="Per jaar",IF(6=$W205,$C205,0),IF($D205="Per half jaar",IF(MOD(6-$W205,6)=0,$C205,0),IF($D205="Per kwartaal",IF(MOD(6-$W205,3)=0,$C205,0),$F205))))))</f>
        <v/>
      </c>
      <c r="Q205" s="107" t="str">
        <f aca="false">IF($C205="","",IF(Dashboard!$C$4="Gemiddeld per maand",$F205,IF(OR($D205="Per maand",$D205="Per week",$D205=""),$F205,IF($D205="Per jaar",IF(7=$W205,$C205,0),IF($D205="Per half jaar",IF(MOD(7-$W205,6)=0,$C205,0),IF($D205="Per kwartaal",IF(MOD(7-$W205,3)=0,$C205,0),$F205))))))</f>
        <v/>
      </c>
      <c r="R205" s="107" t="str">
        <f aca="false">IF($C205="","",IF(Dashboard!$C$4="Gemiddeld per maand",$F205,IF(OR($D205="Per maand",$D205="Per week",$D205=""),$F205,IF($D205="Per jaar",IF(8=$W205,$C205,0),IF($D205="Per half jaar",IF(MOD(8-$W205,6)=0,$C205,0),IF($D205="Per kwartaal",IF(MOD(8-$W205,3)=0,$C205,0),$F205))))))</f>
        <v/>
      </c>
      <c r="S205" s="107" t="str">
        <f aca="false">IF($C205="","",IF(Dashboard!$C$4="Gemiddeld per maand",$F205,IF(OR($D205="Per maand",$D205="Per week",$D205=""),$F205,IF($D205="Per jaar",IF(9=$W205,$C205,0),IF($D205="Per half jaar",IF(MOD(9-$W205,6)=0,$C205,0),IF($D205="Per kwartaal",IF(MOD(9-$W205,3)=0,$C205,0),$F205))))))</f>
        <v/>
      </c>
      <c r="T205" s="107" t="str">
        <f aca="false">IF($C205="","",IF(Dashboard!$C$4="Gemiddeld per maand",$F205,IF(OR($D205="Per maand",$D205="Per week",$D205=""),$F205,IF($D205="Per jaar",IF(10=$W205,$C205,0),IF($D205="Per half jaar",IF(MOD(10-$W205,6)=0,$C205,0),IF($D205="Per kwartaal",IF(MOD(10-$W205,3)=0,$C205,0),$F205))))))</f>
        <v/>
      </c>
      <c r="U205" s="107" t="str">
        <f aca="false">IF($C205="","",IF(Dashboard!$C$4="Gemiddeld per maand",$F205,IF(OR($D205="Per maand",$D205="Per week",$D205=""),$F205,IF($D205="Per jaar",IF(11=$W205,$C205,0),IF($D205="Per half jaar",IF(MOD(11-$W205,6)=0,$C205,0),IF($D205="Per kwartaal",IF(MOD(11-$W205,3)=0,$C205,0),$F205))))))</f>
        <v/>
      </c>
      <c r="V205" s="107" t="str">
        <f aca="false">IF($C205="","",IF(Dashboard!$C$4="Gemiddeld per maand",$F205,IF(OR($D205="Per maand",$D205="Per week",$D205=""),$F205,IF($D205="Per jaar",IF(12=$W205,$C205,0),IF($D205="Per half jaar",IF(MOD(12-$W205,6)=0,$C205,0),IF($D205="Per kwartaal",IF(MOD(12-$W205,3)=0,$C205,0),$F205))))))</f>
        <v/>
      </c>
      <c r="W205" s="15" t="n">
        <f aca="false">IF($E205="",1,IFERROR(MATCH($E205,Lijsten!$K$6:$K$17,0),1))</f>
        <v>1</v>
      </c>
    </row>
    <row r="206" customFormat="false" ht="15" hidden="false" customHeight="false" outlineLevel="0" collapsed="false">
      <c r="A206" s="102"/>
      <c r="B206" s="102"/>
      <c r="C206" s="92"/>
      <c r="D206" s="102"/>
      <c r="E206" s="103"/>
      <c r="F206" s="104" t="str">
        <f aca="false">IF($C206="","",IF($D206="Per jaar",$C206/12,IF($D206="Per kwartaal",$C206/3,IF($D206="Per half jaar",$C206/6,IF($D206="Per week",$C206*52/12,$C206)))))</f>
        <v/>
      </c>
      <c r="G206" s="102"/>
      <c r="H206" s="103"/>
      <c r="I206" s="105"/>
      <c r="J206" s="106" t="str">
        <f aca="false">IF($C206="","",IF(Dashboard!$C$4="Gemiddeld per maand",$F206,IF(OR($D206="Per maand",$D206="Per week",$D206=""),$F206,IF($D206="Per jaar",IF(Dashboard!$N$2=$W206,$C206,0),IF($D206="Per half jaar",IF(MOD(Dashboard!$N$2-$W206,6)=0,$C206,0),IF($D206="Per kwartaal",IF(MOD(Dashboard!$N$2-$W206,3)=0,$C206,0),$F206))))))</f>
        <v/>
      </c>
      <c r="K206" s="107" t="str">
        <f aca="false">IF($C206="","",IF(Dashboard!$C$4="Gemiddeld per maand",$F206,IF(OR($D206="Per maand",$D206="Per week",$D206=""),$F206,IF($D206="Per jaar",IF(1=$W206,$C206,0),IF($D206="Per half jaar",IF(MOD(1-$W206,6)=0,$C206,0),IF($D206="Per kwartaal",IF(MOD(1-$W206,3)=0,$C206,0),$F206))))))</f>
        <v/>
      </c>
      <c r="L206" s="107" t="str">
        <f aca="false">IF($C206="","",IF(Dashboard!$C$4="Gemiddeld per maand",$F206,IF(OR($D206="Per maand",$D206="Per week",$D206=""),$F206,IF($D206="Per jaar",IF(2=$W206,$C206,0),IF($D206="Per half jaar",IF(MOD(2-$W206,6)=0,$C206,0),IF($D206="Per kwartaal",IF(MOD(2-$W206,3)=0,$C206,0),$F206))))))</f>
        <v/>
      </c>
      <c r="M206" s="107" t="str">
        <f aca="false">IF($C206="","",IF(Dashboard!$C$4="Gemiddeld per maand",$F206,IF(OR($D206="Per maand",$D206="Per week",$D206=""),$F206,IF($D206="Per jaar",IF(3=$W206,$C206,0),IF($D206="Per half jaar",IF(MOD(3-$W206,6)=0,$C206,0),IF($D206="Per kwartaal",IF(MOD(3-$W206,3)=0,$C206,0),$F206))))))</f>
        <v/>
      </c>
      <c r="N206" s="107" t="str">
        <f aca="false">IF($C206="","",IF(Dashboard!$C$4="Gemiddeld per maand",$F206,IF(OR($D206="Per maand",$D206="Per week",$D206=""),$F206,IF($D206="Per jaar",IF(4=$W206,$C206,0),IF($D206="Per half jaar",IF(MOD(4-$W206,6)=0,$C206,0),IF($D206="Per kwartaal",IF(MOD(4-$W206,3)=0,$C206,0),$F206))))))</f>
        <v/>
      </c>
      <c r="O206" s="107" t="str">
        <f aca="false">IF($C206="","",IF(Dashboard!$C$4="Gemiddeld per maand",$F206,IF(OR($D206="Per maand",$D206="Per week",$D206=""),$F206,IF($D206="Per jaar",IF(5=$W206,$C206,0),IF($D206="Per half jaar",IF(MOD(5-$W206,6)=0,$C206,0),IF($D206="Per kwartaal",IF(MOD(5-$W206,3)=0,$C206,0),$F206))))))</f>
        <v/>
      </c>
      <c r="P206" s="107" t="str">
        <f aca="false">IF($C206="","",IF(Dashboard!$C$4="Gemiddeld per maand",$F206,IF(OR($D206="Per maand",$D206="Per week",$D206=""),$F206,IF($D206="Per jaar",IF(6=$W206,$C206,0),IF($D206="Per half jaar",IF(MOD(6-$W206,6)=0,$C206,0),IF($D206="Per kwartaal",IF(MOD(6-$W206,3)=0,$C206,0),$F206))))))</f>
        <v/>
      </c>
      <c r="Q206" s="107" t="str">
        <f aca="false">IF($C206="","",IF(Dashboard!$C$4="Gemiddeld per maand",$F206,IF(OR($D206="Per maand",$D206="Per week",$D206=""),$F206,IF($D206="Per jaar",IF(7=$W206,$C206,0),IF($D206="Per half jaar",IF(MOD(7-$W206,6)=0,$C206,0),IF($D206="Per kwartaal",IF(MOD(7-$W206,3)=0,$C206,0),$F206))))))</f>
        <v/>
      </c>
      <c r="R206" s="107" t="str">
        <f aca="false">IF($C206="","",IF(Dashboard!$C$4="Gemiddeld per maand",$F206,IF(OR($D206="Per maand",$D206="Per week",$D206=""),$F206,IF($D206="Per jaar",IF(8=$W206,$C206,0),IF($D206="Per half jaar",IF(MOD(8-$W206,6)=0,$C206,0),IF($D206="Per kwartaal",IF(MOD(8-$W206,3)=0,$C206,0),$F206))))))</f>
        <v/>
      </c>
      <c r="S206" s="107" t="str">
        <f aca="false">IF($C206="","",IF(Dashboard!$C$4="Gemiddeld per maand",$F206,IF(OR($D206="Per maand",$D206="Per week",$D206=""),$F206,IF($D206="Per jaar",IF(9=$W206,$C206,0),IF($D206="Per half jaar",IF(MOD(9-$W206,6)=0,$C206,0),IF($D206="Per kwartaal",IF(MOD(9-$W206,3)=0,$C206,0),$F206))))))</f>
        <v/>
      </c>
      <c r="T206" s="107" t="str">
        <f aca="false">IF($C206="","",IF(Dashboard!$C$4="Gemiddeld per maand",$F206,IF(OR($D206="Per maand",$D206="Per week",$D206=""),$F206,IF($D206="Per jaar",IF(10=$W206,$C206,0),IF($D206="Per half jaar",IF(MOD(10-$W206,6)=0,$C206,0),IF($D206="Per kwartaal",IF(MOD(10-$W206,3)=0,$C206,0),$F206))))))</f>
        <v/>
      </c>
      <c r="U206" s="107" t="str">
        <f aca="false">IF($C206="","",IF(Dashboard!$C$4="Gemiddeld per maand",$F206,IF(OR($D206="Per maand",$D206="Per week",$D206=""),$F206,IF($D206="Per jaar",IF(11=$W206,$C206,0),IF($D206="Per half jaar",IF(MOD(11-$W206,6)=0,$C206,0),IF($D206="Per kwartaal",IF(MOD(11-$W206,3)=0,$C206,0),$F206))))))</f>
        <v/>
      </c>
      <c r="V206" s="107" t="str">
        <f aca="false">IF($C206="","",IF(Dashboard!$C$4="Gemiddeld per maand",$F206,IF(OR($D206="Per maand",$D206="Per week",$D206=""),$F206,IF($D206="Per jaar",IF(12=$W206,$C206,0),IF($D206="Per half jaar",IF(MOD(12-$W206,6)=0,$C206,0),IF($D206="Per kwartaal",IF(MOD(12-$W206,3)=0,$C206,0),$F206))))))</f>
        <v/>
      </c>
      <c r="W206" s="15" t="n">
        <f aca="false">IF($E206="",1,IFERROR(MATCH($E206,Lijsten!$K$6:$K$17,0),1))</f>
        <v>1</v>
      </c>
    </row>
    <row r="207" customFormat="false" ht="15" hidden="false" customHeight="false" outlineLevel="0" collapsed="false">
      <c r="A207" s="102"/>
      <c r="B207" s="102"/>
      <c r="C207" s="92"/>
      <c r="D207" s="102"/>
      <c r="E207" s="103"/>
      <c r="F207" s="104" t="str">
        <f aca="false">IF($C207="","",IF($D207="Per jaar",$C207/12,IF($D207="Per kwartaal",$C207/3,IF($D207="Per half jaar",$C207/6,IF($D207="Per week",$C207*52/12,$C207)))))</f>
        <v/>
      </c>
      <c r="G207" s="102"/>
      <c r="H207" s="103"/>
      <c r="I207" s="105"/>
      <c r="J207" s="106" t="str">
        <f aca="false">IF($C207="","",IF(Dashboard!$C$4="Gemiddeld per maand",$F207,IF(OR($D207="Per maand",$D207="Per week",$D207=""),$F207,IF($D207="Per jaar",IF(Dashboard!$N$2=$W207,$C207,0),IF($D207="Per half jaar",IF(MOD(Dashboard!$N$2-$W207,6)=0,$C207,0),IF($D207="Per kwartaal",IF(MOD(Dashboard!$N$2-$W207,3)=0,$C207,0),$F207))))))</f>
        <v/>
      </c>
      <c r="K207" s="107" t="str">
        <f aca="false">IF($C207="","",IF(Dashboard!$C$4="Gemiddeld per maand",$F207,IF(OR($D207="Per maand",$D207="Per week",$D207=""),$F207,IF($D207="Per jaar",IF(1=$W207,$C207,0),IF($D207="Per half jaar",IF(MOD(1-$W207,6)=0,$C207,0),IF($D207="Per kwartaal",IF(MOD(1-$W207,3)=0,$C207,0),$F207))))))</f>
        <v/>
      </c>
      <c r="L207" s="107" t="str">
        <f aca="false">IF($C207="","",IF(Dashboard!$C$4="Gemiddeld per maand",$F207,IF(OR($D207="Per maand",$D207="Per week",$D207=""),$F207,IF($D207="Per jaar",IF(2=$W207,$C207,0),IF($D207="Per half jaar",IF(MOD(2-$W207,6)=0,$C207,0),IF($D207="Per kwartaal",IF(MOD(2-$W207,3)=0,$C207,0),$F207))))))</f>
        <v/>
      </c>
      <c r="M207" s="107" t="str">
        <f aca="false">IF($C207="","",IF(Dashboard!$C$4="Gemiddeld per maand",$F207,IF(OR($D207="Per maand",$D207="Per week",$D207=""),$F207,IF($D207="Per jaar",IF(3=$W207,$C207,0),IF($D207="Per half jaar",IF(MOD(3-$W207,6)=0,$C207,0),IF($D207="Per kwartaal",IF(MOD(3-$W207,3)=0,$C207,0),$F207))))))</f>
        <v/>
      </c>
      <c r="N207" s="107" t="str">
        <f aca="false">IF($C207="","",IF(Dashboard!$C$4="Gemiddeld per maand",$F207,IF(OR($D207="Per maand",$D207="Per week",$D207=""),$F207,IF($D207="Per jaar",IF(4=$W207,$C207,0),IF($D207="Per half jaar",IF(MOD(4-$W207,6)=0,$C207,0),IF($D207="Per kwartaal",IF(MOD(4-$W207,3)=0,$C207,0),$F207))))))</f>
        <v/>
      </c>
      <c r="O207" s="107" t="str">
        <f aca="false">IF($C207="","",IF(Dashboard!$C$4="Gemiddeld per maand",$F207,IF(OR($D207="Per maand",$D207="Per week",$D207=""),$F207,IF($D207="Per jaar",IF(5=$W207,$C207,0),IF($D207="Per half jaar",IF(MOD(5-$W207,6)=0,$C207,0),IF($D207="Per kwartaal",IF(MOD(5-$W207,3)=0,$C207,0),$F207))))))</f>
        <v/>
      </c>
      <c r="P207" s="107" t="str">
        <f aca="false">IF($C207="","",IF(Dashboard!$C$4="Gemiddeld per maand",$F207,IF(OR($D207="Per maand",$D207="Per week",$D207=""),$F207,IF($D207="Per jaar",IF(6=$W207,$C207,0),IF($D207="Per half jaar",IF(MOD(6-$W207,6)=0,$C207,0),IF($D207="Per kwartaal",IF(MOD(6-$W207,3)=0,$C207,0),$F207))))))</f>
        <v/>
      </c>
      <c r="Q207" s="107" t="str">
        <f aca="false">IF($C207="","",IF(Dashboard!$C$4="Gemiddeld per maand",$F207,IF(OR($D207="Per maand",$D207="Per week",$D207=""),$F207,IF($D207="Per jaar",IF(7=$W207,$C207,0),IF($D207="Per half jaar",IF(MOD(7-$W207,6)=0,$C207,0),IF($D207="Per kwartaal",IF(MOD(7-$W207,3)=0,$C207,0),$F207))))))</f>
        <v/>
      </c>
      <c r="R207" s="107" t="str">
        <f aca="false">IF($C207="","",IF(Dashboard!$C$4="Gemiddeld per maand",$F207,IF(OR($D207="Per maand",$D207="Per week",$D207=""),$F207,IF($D207="Per jaar",IF(8=$W207,$C207,0),IF($D207="Per half jaar",IF(MOD(8-$W207,6)=0,$C207,0),IF($D207="Per kwartaal",IF(MOD(8-$W207,3)=0,$C207,0),$F207))))))</f>
        <v/>
      </c>
      <c r="S207" s="107" t="str">
        <f aca="false">IF($C207="","",IF(Dashboard!$C$4="Gemiddeld per maand",$F207,IF(OR($D207="Per maand",$D207="Per week",$D207=""),$F207,IF($D207="Per jaar",IF(9=$W207,$C207,0),IF($D207="Per half jaar",IF(MOD(9-$W207,6)=0,$C207,0),IF($D207="Per kwartaal",IF(MOD(9-$W207,3)=0,$C207,0),$F207))))))</f>
        <v/>
      </c>
      <c r="T207" s="107" t="str">
        <f aca="false">IF($C207="","",IF(Dashboard!$C$4="Gemiddeld per maand",$F207,IF(OR($D207="Per maand",$D207="Per week",$D207=""),$F207,IF($D207="Per jaar",IF(10=$W207,$C207,0),IF($D207="Per half jaar",IF(MOD(10-$W207,6)=0,$C207,0),IF($D207="Per kwartaal",IF(MOD(10-$W207,3)=0,$C207,0),$F207))))))</f>
        <v/>
      </c>
      <c r="U207" s="107" t="str">
        <f aca="false">IF($C207="","",IF(Dashboard!$C$4="Gemiddeld per maand",$F207,IF(OR($D207="Per maand",$D207="Per week",$D207=""),$F207,IF($D207="Per jaar",IF(11=$W207,$C207,0),IF($D207="Per half jaar",IF(MOD(11-$W207,6)=0,$C207,0),IF($D207="Per kwartaal",IF(MOD(11-$W207,3)=0,$C207,0),$F207))))))</f>
        <v/>
      </c>
      <c r="V207" s="107" t="str">
        <f aca="false">IF($C207="","",IF(Dashboard!$C$4="Gemiddeld per maand",$F207,IF(OR($D207="Per maand",$D207="Per week",$D207=""),$F207,IF($D207="Per jaar",IF(12=$W207,$C207,0),IF($D207="Per half jaar",IF(MOD(12-$W207,6)=0,$C207,0),IF($D207="Per kwartaal",IF(MOD(12-$W207,3)=0,$C207,0),$F207))))))</f>
        <v/>
      </c>
      <c r="W207" s="15" t="n">
        <f aca="false">IF($E207="",1,IFERROR(MATCH($E207,Lijsten!$K$6:$K$17,0),1))</f>
        <v>1</v>
      </c>
    </row>
  </sheetData>
  <autoFilter ref="A7:J207"/>
  <dataValidations count="5">
    <dataValidation allowBlank="true" error="Kies een categorie uit de lijst of voeg hem toe op Lijsten." errorStyle="stop" errorTitle="Onbekende categorie" operator="between" showDropDown="false" showErrorMessage="true" showInputMessage="false" sqref="G8:G207" type="list">
      <formula1>Lijsten!$C$6:$C$35</formula1>
      <formula2>0</formula2>
    </dataValidation>
    <dataValidation allowBlank="true" errorStyle="stop" operator="between" showDropDown="false" showErrorMessage="false" showInputMessage="false" sqref="D8:D207" type="list">
      <formula1>Lijsten!$M$6:$M$10</formula1>
      <formula2>0</formula2>
    </dataValidation>
    <dataValidation allowBlank="true" errorStyle="stop" operator="between" showDropDown="false" showErrorMessage="false" showInputMessage="false" sqref="E8:E207" type="list">
      <formula1>Lijsten!$K$6:$K$17</formula1>
      <formula2>0</formula2>
    </dataValidation>
    <dataValidation allowBlank="true" errorStyle="stop" operator="between" showDropDown="false" showErrorMessage="false" showInputMessage="false" sqref="H8:H207" type="list">
      <formula1>"Ja,Nee"</formula1>
      <formula2>0</formula2>
    </dataValidation>
    <dataValidation allowBlank="true" errorStyle="stop" operator="between" showDropDown="false" showErrorMessage="false" showInputMessage="false" sqref="B8:B207" type="list">
      <formula1>Lijsten!$E$6:$E$65</formula1>
      <formula2>0</formula2>
    </dataValidation>
  </dataValidations>
  <hyperlinks>
    <hyperlink ref="F1" location="'Start'!A1" display="⌂  Menu"/>
    <hyperlink ref="G1" location="'Dashboard'!A1" display="Dashboard ▸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47857"/>
    <pageSetUpPr fitToPage="false"/>
  </sheetPr>
  <dimension ref="A1:W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24"/>
    <col collapsed="false" customWidth="true" hidden="false" outlineLevel="0" max="8" min="8" style="0" width="9"/>
    <col collapsed="false" customWidth="true" hidden="false" outlineLevel="0" max="9" min="9" style="0" width="30"/>
    <col collapsed="false" customWidth="true" hidden="false" outlineLevel="0" max="10" min="10" style="0" width="17"/>
    <col collapsed="false" customWidth="true" hidden="true" outlineLevel="0" max="23" min="11" style="0" width="13"/>
  </cols>
  <sheetData>
    <row r="1" customFormat="false" ht="19.7" hidden="false" customHeight="false" outlineLevel="0" collapsed="false">
      <c r="A1" s="95" t="s">
        <v>13</v>
      </c>
      <c r="F1" s="32" t="s">
        <v>36</v>
      </c>
      <c r="G1" s="77" t="s">
        <v>82</v>
      </c>
    </row>
    <row r="2" customFormat="false" ht="15" hidden="false" customHeight="false" outlineLevel="0" collapsed="false">
      <c r="A2" s="15" t="s">
        <v>132</v>
      </c>
    </row>
    <row r="3" customFormat="false" ht="15" hidden="false" customHeight="false" outlineLevel="0" collapsed="false">
      <c r="A3" s="12" t="s">
        <v>97</v>
      </c>
    </row>
    <row r="5" customFormat="false" ht="16.15" hidden="false" customHeight="false" outlineLevel="0" collapsed="false">
      <c r="A5" s="96" t="s">
        <v>133</v>
      </c>
      <c r="F5" s="97" t="n">
        <f aca="false">SUMIFS($F$8:$F$37,$H$8:$H$37,"Ja")</f>
        <v>2800</v>
      </c>
      <c r="G5" s="12" t="str">
        <f aca="false">COUNTIF($H$8:$H$37,"Ja")&amp;" actieve regels"</f>
        <v>1 actieve regels</v>
      </c>
      <c r="J5" s="12" t="s">
        <v>99</v>
      </c>
    </row>
    <row r="6" customFormat="false" ht="15" hidden="false" customHeight="false" outlineLevel="0" collapsed="false">
      <c r="J6" s="98" t="n">
        <f aca="false">SUMIFS($J$8:$J$37,$H$8:$H$37,"Ja")</f>
        <v>2800</v>
      </c>
    </row>
    <row r="7" customFormat="false" ht="23.85" hidden="false" customHeight="false" outlineLevel="0" collapsed="false">
      <c r="A7" s="99" t="s">
        <v>100</v>
      </c>
      <c r="B7" s="99" t="s">
        <v>134</v>
      </c>
      <c r="C7" s="99" t="s">
        <v>102</v>
      </c>
      <c r="D7" s="99" t="s">
        <v>103</v>
      </c>
      <c r="E7" s="99" t="s">
        <v>104</v>
      </c>
      <c r="F7" s="99" t="s">
        <v>105</v>
      </c>
      <c r="G7" s="99" t="s">
        <v>85</v>
      </c>
      <c r="H7" s="99" t="s">
        <v>106</v>
      </c>
      <c r="I7" s="99" t="s">
        <v>107</v>
      </c>
      <c r="J7" s="100" t="s">
        <v>108</v>
      </c>
      <c r="K7" s="101" t="s">
        <v>109</v>
      </c>
      <c r="L7" s="101" t="s">
        <v>110</v>
      </c>
      <c r="M7" s="101" t="s">
        <v>111</v>
      </c>
      <c r="N7" s="101" t="s">
        <v>112</v>
      </c>
      <c r="O7" s="101" t="s">
        <v>113</v>
      </c>
      <c r="P7" s="101" t="s">
        <v>114</v>
      </c>
      <c r="Q7" s="101" t="s">
        <v>115</v>
      </c>
      <c r="R7" s="101" t="s">
        <v>43</v>
      </c>
      <c r="S7" s="101" t="s">
        <v>116</v>
      </c>
      <c r="T7" s="101" t="s">
        <v>117</v>
      </c>
      <c r="U7" s="101" t="s">
        <v>118</v>
      </c>
      <c r="V7" s="101" t="s">
        <v>119</v>
      </c>
      <c r="W7" s="33" t="s">
        <v>120</v>
      </c>
    </row>
    <row r="8" customFormat="false" ht="15" hidden="false" customHeight="false" outlineLevel="0" collapsed="false">
      <c r="A8" s="102" t="s">
        <v>135</v>
      </c>
      <c r="B8" s="102" t="s">
        <v>136</v>
      </c>
      <c r="C8" s="92" t="n">
        <v>2800</v>
      </c>
      <c r="D8" s="102" t="s">
        <v>123</v>
      </c>
      <c r="E8" s="103"/>
      <c r="F8" s="104" t="n">
        <f aca="false">IF($C8="","",IF($D8="Per jaar",$C8/12,IF($D8="Per kwartaal",$C8/3,IF($D8="Per half jaar",$C8/6,IF($D8="Per week",$C8*52/12,$C8)))))</f>
        <v>2800</v>
      </c>
      <c r="G8" s="102" t="s">
        <v>135</v>
      </c>
      <c r="H8" s="103" t="s">
        <v>125</v>
      </c>
      <c r="I8" s="105" t="s">
        <v>137</v>
      </c>
      <c r="J8" s="106" t="n">
        <f aca="false">IF($C8="","",IF(Dashboard!$C$4="Gemiddeld per maand",$F8,IF(OR($D8="Per maand",$D8="Per week",$D8=""),$F8,IF($D8="Per jaar",IF(Dashboard!$N$2=$W8,$C8,0),IF($D8="Per half jaar",IF(MOD(Dashboard!$N$2-$W8,6)=0,$C8,0),IF($D8="Per kwartaal",IF(MOD(Dashboard!$N$2-$W8,3)=0,$C8,0),$F8))))))</f>
        <v>2800</v>
      </c>
      <c r="K8" s="107" t="n">
        <f aca="false">IF($C8="","",IF(Dashboard!$C$4="Gemiddeld per maand",$F8,IF(OR($D8="Per maand",$D8="Per week",$D8=""),$F8,IF($D8="Per jaar",IF(1=$W8,$C8,0),IF($D8="Per half jaar",IF(MOD(1-$W8,6)=0,$C8,0),IF($D8="Per kwartaal",IF(MOD(1-$W8,3)=0,$C8,0),$F8))))))</f>
        <v>2800</v>
      </c>
      <c r="L8" s="107" t="n">
        <f aca="false">IF($C8="","",IF(Dashboard!$C$4="Gemiddeld per maand",$F8,IF(OR($D8="Per maand",$D8="Per week",$D8=""),$F8,IF($D8="Per jaar",IF(2=$W8,$C8,0),IF($D8="Per half jaar",IF(MOD(2-$W8,6)=0,$C8,0),IF($D8="Per kwartaal",IF(MOD(2-$W8,3)=0,$C8,0),$F8))))))</f>
        <v>2800</v>
      </c>
      <c r="M8" s="107" t="n">
        <f aca="false">IF($C8="","",IF(Dashboard!$C$4="Gemiddeld per maand",$F8,IF(OR($D8="Per maand",$D8="Per week",$D8=""),$F8,IF($D8="Per jaar",IF(3=$W8,$C8,0),IF($D8="Per half jaar",IF(MOD(3-$W8,6)=0,$C8,0),IF($D8="Per kwartaal",IF(MOD(3-$W8,3)=0,$C8,0),$F8))))))</f>
        <v>2800</v>
      </c>
      <c r="N8" s="107" t="n">
        <f aca="false">IF($C8="","",IF(Dashboard!$C$4="Gemiddeld per maand",$F8,IF(OR($D8="Per maand",$D8="Per week",$D8=""),$F8,IF($D8="Per jaar",IF(4=$W8,$C8,0),IF($D8="Per half jaar",IF(MOD(4-$W8,6)=0,$C8,0),IF($D8="Per kwartaal",IF(MOD(4-$W8,3)=0,$C8,0),$F8))))))</f>
        <v>2800</v>
      </c>
      <c r="O8" s="107" t="n">
        <f aca="false">IF($C8="","",IF(Dashboard!$C$4="Gemiddeld per maand",$F8,IF(OR($D8="Per maand",$D8="Per week",$D8=""),$F8,IF($D8="Per jaar",IF(5=$W8,$C8,0),IF($D8="Per half jaar",IF(MOD(5-$W8,6)=0,$C8,0),IF($D8="Per kwartaal",IF(MOD(5-$W8,3)=0,$C8,0),$F8))))))</f>
        <v>2800</v>
      </c>
      <c r="P8" s="107" t="n">
        <f aca="false">IF($C8="","",IF(Dashboard!$C$4="Gemiddeld per maand",$F8,IF(OR($D8="Per maand",$D8="Per week",$D8=""),$F8,IF($D8="Per jaar",IF(6=$W8,$C8,0),IF($D8="Per half jaar",IF(MOD(6-$W8,6)=0,$C8,0),IF($D8="Per kwartaal",IF(MOD(6-$W8,3)=0,$C8,0),$F8))))))</f>
        <v>2800</v>
      </c>
      <c r="Q8" s="107" t="n">
        <f aca="false">IF($C8="","",IF(Dashboard!$C$4="Gemiddeld per maand",$F8,IF(OR($D8="Per maand",$D8="Per week",$D8=""),$F8,IF($D8="Per jaar",IF(7=$W8,$C8,0),IF($D8="Per half jaar",IF(MOD(7-$W8,6)=0,$C8,0),IF($D8="Per kwartaal",IF(MOD(7-$W8,3)=0,$C8,0),$F8))))))</f>
        <v>2800</v>
      </c>
      <c r="R8" s="107" t="n">
        <f aca="false">IF($C8="","",IF(Dashboard!$C$4="Gemiddeld per maand",$F8,IF(OR($D8="Per maand",$D8="Per week",$D8=""),$F8,IF($D8="Per jaar",IF(8=$W8,$C8,0),IF($D8="Per half jaar",IF(MOD(8-$W8,6)=0,$C8,0),IF($D8="Per kwartaal",IF(MOD(8-$W8,3)=0,$C8,0),$F8))))))</f>
        <v>2800</v>
      </c>
      <c r="S8" s="107" t="n">
        <f aca="false">IF($C8="","",IF(Dashboard!$C$4="Gemiddeld per maand",$F8,IF(OR($D8="Per maand",$D8="Per week",$D8=""),$F8,IF($D8="Per jaar",IF(9=$W8,$C8,0),IF($D8="Per half jaar",IF(MOD(9-$W8,6)=0,$C8,0),IF($D8="Per kwartaal",IF(MOD(9-$W8,3)=0,$C8,0),$F8))))))</f>
        <v>2800</v>
      </c>
      <c r="T8" s="107" t="n">
        <f aca="false">IF($C8="","",IF(Dashboard!$C$4="Gemiddeld per maand",$F8,IF(OR($D8="Per maand",$D8="Per week",$D8=""),$F8,IF($D8="Per jaar",IF(10=$W8,$C8,0),IF($D8="Per half jaar",IF(MOD(10-$W8,6)=0,$C8,0),IF($D8="Per kwartaal",IF(MOD(10-$W8,3)=0,$C8,0),$F8))))))</f>
        <v>2800</v>
      </c>
      <c r="U8" s="107" t="n">
        <f aca="false">IF($C8="","",IF(Dashboard!$C$4="Gemiddeld per maand",$F8,IF(OR($D8="Per maand",$D8="Per week",$D8=""),$F8,IF($D8="Per jaar",IF(11=$W8,$C8,0),IF($D8="Per half jaar",IF(MOD(11-$W8,6)=0,$C8,0),IF($D8="Per kwartaal",IF(MOD(11-$W8,3)=0,$C8,0),$F8))))))</f>
        <v>2800</v>
      </c>
      <c r="V8" s="107" t="n">
        <f aca="false">IF($C8="","",IF(Dashboard!$C$4="Gemiddeld per maand",$F8,IF(OR($D8="Per maand",$D8="Per week",$D8=""),$F8,IF($D8="Per jaar",IF(12=$W8,$C8,0),IF($D8="Per half jaar",IF(MOD(12-$W8,6)=0,$C8,0),IF($D8="Per kwartaal",IF(MOD(12-$W8,3)=0,$C8,0),$F8))))))</f>
        <v>2800</v>
      </c>
      <c r="W8" s="15" t="n">
        <f aca="false">IF($E8="",1,IFERROR(MATCH($E8,Lijsten!$K$6:$K$17,0),1))</f>
        <v>1</v>
      </c>
    </row>
    <row r="9" customFormat="false" ht="15" hidden="false" customHeight="false" outlineLevel="0" collapsed="false">
      <c r="A9" s="102"/>
      <c r="B9" s="102"/>
      <c r="C9" s="92"/>
      <c r="D9" s="102"/>
      <c r="E9" s="103"/>
      <c r="F9" s="104" t="str">
        <f aca="false">IF($C9="","",IF($D9="Per jaar",$C9/12,IF($D9="Per kwartaal",$C9/3,IF($D9="Per half jaar",$C9/6,IF($D9="Per week",$C9*52/12,$C9)))))</f>
        <v/>
      </c>
      <c r="G9" s="102"/>
      <c r="H9" s="103"/>
      <c r="I9" s="105"/>
      <c r="J9" s="106" t="str">
        <f aca="false">IF($C9="","",IF(Dashboard!$C$4="Gemiddeld per maand",$F9,IF(OR($D9="Per maand",$D9="Per week",$D9=""),$F9,IF($D9="Per jaar",IF(Dashboard!$N$2=$W9,$C9,0),IF($D9="Per half jaar",IF(MOD(Dashboard!$N$2-$W9,6)=0,$C9,0),IF($D9="Per kwartaal",IF(MOD(Dashboard!$N$2-$W9,3)=0,$C9,0),$F9))))))</f>
        <v/>
      </c>
      <c r="K9" s="107" t="str">
        <f aca="false">IF($C9="","",IF(Dashboard!$C$4="Gemiddeld per maand",$F9,IF(OR($D9="Per maand",$D9="Per week",$D9=""),$F9,IF($D9="Per jaar",IF(1=$W9,$C9,0),IF($D9="Per half jaar",IF(MOD(1-$W9,6)=0,$C9,0),IF($D9="Per kwartaal",IF(MOD(1-$W9,3)=0,$C9,0),$F9))))))</f>
        <v/>
      </c>
      <c r="L9" s="107" t="str">
        <f aca="false">IF($C9="","",IF(Dashboard!$C$4="Gemiddeld per maand",$F9,IF(OR($D9="Per maand",$D9="Per week",$D9=""),$F9,IF($D9="Per jaar",IF(2=$W9,$C9,0),IF($D9="Per half jaar",IF(MOD(2-$W9,6)=0,$C9,0),IF($D9="Per kwartaal",IF(MOD(2-$W9,3)=0,$C9,0),$F9))))))</f>
        <v/>
      </c>
      <c r="M9" s="107" t="str">
        <f aca="false">IF($C9="","",IF(Dashboard!$C$4="Gemiddeld per maand",$F9,IF(OR($D9="Per maand",$D9="Per week",$D9=""),$F9,IF($D9="Per jaar",IF(3=$W9,$C9,0),IF($D9="Per half jaar",IF(MOD(3-$W9,6)=0,$C9,0),IF($D9="Per kwartaal",IF(MOD(3-$W9,3)=0,$C9,0),$F9))))))</f>
        <v/>
      </c>
      <c r="N9" s="107" t="str">
        <f aca="false">IF($C9="","",IF(Dashboard!$C$4="Gemiddeld per maand",$F9,IF(OR($D9="Per maand",$D9="Per week",$D9=""),$F9,IF($D9="Per jaar",IF(4=$W9,$C9,0),IF($D9="Per half jaar",IF(MOD(4-$W9,6)=0,$C9,0),IF($D9="Per kwartaal",IF(MOD(4-$W9,3)=0,$C9,0),$F9))))))</f>
        <v/>
      </c>
      <c r="O9" s="107" t="str">
        <f aca="false">IF($C9="","",IF(Dashboard!$C$4="Gemiddeld per maand",$F9,IF(OR($D9="Per maand",$D9="Per week",$D9=""),$F9,IF($D9="Per jaar",IF(5=$W9,$C9,0),IF($D9="Per half jaar",IF(MOD(5-$W9,6)=0,$C9,0),IF($D9="Per kwartaal",IF(MOD(5-$W9,3)=0,$C9,0),$F9))))))</f>
        <v/>
      </c>
      <c r="P9" s="107" t="str">
        <f aca="false">IF($C9="","",IF(Dashboard!$C$4="Gemiddeld per maand",$F9,IF(OR($D9="Per maand",$D9="Per week",$D9=""),$F9,IF($D9="Per jaar",IF(6=$W9,$C9,0),IF($D9="Per half jaar",IF(MOD(6-$W9,6)=0,$C9,0),IF($D9="Per kwartaal",IF(MOD(6-$W9,3)=0,$C9,0),$F9))))))</f>
        <v/>
      </c>
      <c r="Q9" s="107" t="str">
        <f aca="false">IF($C9="","",IF(Dashboard!$C$4="Gemiddeld per maand",$F9,IF(OR($D9="Per maand",$D9="Per week",$D9=""),$F9,IF($D9="Per jaar",IF(7=$W9,$C9,0),IF($D9="Per half jaar",IF(MOD(7-$W9,6)=0,$C9,0),IF($D9="Per kwartaal",IF(MOD(7-$W9,3)=0,$C9,0),$F9))))))</f>
        <v/>
      </c>
      <c r="R9" s="107" t="str">
        <f aca="false">IF($C9="","",IF(Dashboard!$C$4="Gemiddeld per maand",$F9,IF(OR($D9="Per maand",$D9="Per week",$D9=""),$F9,IF($D9="Per jaar",IF(8=$W9,$C9,0),IF($D9="Per half jaar",IF(MOD(8-$W9,6)=0,$C9,0),IF($D9="Per kwartaal",IF(MOD(8-$W9,3)=0,$C9,0),$F9))))))</f>
        <v/>
      </c>
      <c r="S9" s="107" t="str">
        <f aca="false">IF($C9="","",IF(Dashboard!$C$4="Gemiddeld per maand",$F9,IF(OR($D9="Per maand",$D9="Per week",$D9=""),$F9,IF($D9="Per jaar",IF(9=$W9,$C9,0),IF($D9="Per half jaar",IF(MOD(9-$W9,6)=0,$C9,0),IF($D9="Per kwartaal",IF(MOD(9-$W9,3)=0,$C9,0),$F9))))))</f>
        <v/>
      </c>
      <c r="T9" s="107" t="str">
        <f aca="false">IF($C9="","",IF(Dashboard!$C$4="Gemiddeld per maand",$F9,IF(OR($D9="Per maand",$D9="Per week",$D9=""),$F9,IF($D9="Per jaar",IF(10=$W9,$C9,0),IF($D9="Per half jaar",IF(MOD(10-$W9,6)=0,$C9,0),IF($D9="Per kwartaal",IF(MOD(10-$W9,3)=0,$C9,0),$F9))))))</f>
        <v/>
      </c>
      <c r="U9" s="107" t="str">
        <f aca="false">IF($C9="","",IF(Dashboard!$C$4="Gemiddeld per maand",$F9,IF(OR($D9="Per maand",$D9="Per week",$D9=""),$F9,IF($D9="Per jaar",IF(11=$W9,$C9,0),IF($D9="Per half jaar",IF(MOD(11-$W9,6)=0,$C9,0),IF($D9="Per kwartaal",IF(MOD(11-$W9,3)=0,$C9,0),$F9))))))</f>
        <v/>
      </c>
      <c r="V9" s="107" t="str">
        <f aca="false">IF($C9="","",IF(Dashboard!$C$4="Gemiddeld per maand",$F9,IF(OR($D9="Per maand",$D9="Per week",$D9=""),$F9,IF($D9="Per jaar",IF(12=$W9,$C9,0),IF($D9="Per half jaar",IF(MOD(12-$W9,6)=0,$C9,0),IF($D9="Per kwartaal",IF(MOD(12-$W9,3)=0,$C9,0),$F9))))))</f>
        <v/>
      </c>
      <c r="W9" s="15" t="n">
        <f aca="false">IF($E9="",1,IFERROR(MATCH($E9,Lijsten!$K$6:$K$17,0),1))</f>
        <v>1</v>
      </c>
    </row>
    <row r="10" customFormat="false" ht="15" hidden="false" customHeight="false" outlineLevel="0" collapsed="false">
      <c r="A10" s="102"/>
      <c r="B10" s="102"/>
      <c r="C10" s="92"/>
      <c r="D10" s="102"/>
      <c r="E10" s="103"/>
      <c r="F10" s="104" t="str">
        <f aca="false">IF($C10="","",IF($D10="Per jaar",$C10/12,IF($D10="Per kwartaal",$C10/3,IF($D10="Per half jaar",$C10/6,IF($D10="Per week",$C10*52/12,$C10)))))</f>
        <v/>
      </c>
      <c r="G10" s="102"/>
      <c r="H10" s="103"/>
      <c r="I10" s="105"/>
      <c r="J10" s="106" t="str">
        <f aca="false">IF($C10="","",IF(Dashboard!$C$4="Gemiddeld per maand",$F10,IF(OR($D10="Per maand",$D10="Per week",$D10=""),$F10,IF($D10="Per jaar",IF(Dashboard!$N$2=$W10,$C10,0),IF($D10="Per half jaar",IF(MOD(Dashboard!$N$2-$W10,6)=0,$C10,0),IF($D10="Per kwartaal",IF(MOD(Dashboard!$N$2-$W10,3)=0,$C10,0),$F10))))))</f>
        <v/>
      </c>
      <c r="K10" s="107" t="str">
        <f aca="false">IF($C10="","",IF(Dashboard!$C$4="Gemiddeld per maand",$F10,IF(OR($D10="Per maand",$D10="Per week",$D10=""),$F10,IF($D10="Per jaar",IF(1=$W10,$C10,0),IF($D10="Per half jaar",IF(MOD(1-$W10,6)=0,$C10,0),IF($D10="Per kwartaal",IF(MOD(1-$W10,3)=0,$C10,0),$F10))))))</f>
        <v/>
      </c>
      <c r="L10" s="107" t="str">
        <f aca="false">IF($C10="","",IF(Dashboard!$C$4="Gemiddeld per maand",$F10,IF(OR($D10="Per maand",$D10="Per week",$D10=""),$F10,IF($D10="Per jaar",IF(2=$W10,$C10,0),IF($D10="Per half jaar",IF(MOD(2-$W10,6)=0,$C10,0),IF($D10="Per kwartaal",IF(MOD(2-$W10,3)=0,$C10,0),$F10))))))</f>
        <v/>
      </c>
      <c r="M10" s="107" t="str">
        <f aca="false">IF($C10="","",IF(Dashboard!$C$4="Gemiddeld per maand",$F10,IF(OR($D10="Per maand",$D10="Per week",$D10=""),$F10,IF($D10="Per jaar",IF(3=$W10,$C10,0),IF($D10="Per half jaar",IF(MOD(3-$W10,6)=0,$C10,0),IF($D10="Per kwartaal",IF(MOD(3-$W10,3)=0,$C10,0),$F10))))))</f>
        <v/>
      </c>
      <c r="N10" s="107" t="str">
        <f aca="false">IF($C10="","",IF(Dashboard!$C$4="Gemiddeld per maand",$F10,IF(OR($D10="Per maand",$D10="Per week",$D10=""),$F10,IF($D10="Per jaar",IF(4=$W10,$C10,0),IF($D10="Per half jaar",IF(MOD(4-$W10,6)=0,$C10,0),IF($D10="Per kwartaal",IF(MOD(4-$W10,3)=0,$C10,0),$F10))))))</f>
        <v/>
      </c>
      <c r="O10" s="107" t="str">
        <f aca="false">IF($C10="","",IF(Dashboard!$C$4="Gemiddeld per maand",$F10,IF(OR($D10="Per maand",$D10="Per week",$D10=""),$F10,IF($D10="Per jaar",IF(5=$W10,$C10,0),IF($D10="Per half jaar",IF(MOD(5-$W10,6)=0,$C10,0),IF($D10="Per kwartaal",IF(MOD(5-$W10,3)=0,$C10,0),$F10))))))</f>
        <v/>
      </c>
      <c r="P10" s="107" t="str">
        <f aca="false">IF($C10="","",IF(Dashboard!$C$4="Gemiddeld per maand",$F10,IF(OR($D10="Per maand",$D10="Per week",$D10=""),$F10,IF($D10="Per jaar",IF(6=$W10,$C10,0),IF($D10="Per half jaar",IF(MOD(6-$W10,6)=0,$C10,0),IF($D10="Per kwartaal",IF(MOD(6-$W10,3)=0,$C10,0),$F10))))))</f>
        <v/>
      </c>
      <c r="Q10" s="107" t="str">
        <f aca="false">IF($C10="","",IF(Dashboard!$C$4="Gemiddeld per maand",$F10,IF(OR($D10="Per maand",$D10="Per week",$D10=""),$F10,IF($D10="Per jaar",IF(7=$W10,$C10,0),IF($D10="Per half jaar",IF(MOD(7-$W10,6)=0,$C10,0),IF($D10="Per kwartaal",IF(MOD(7-$W10,3)=0,$C10,0),$F10))))))</f>
        <v/>
      </c>
      <c r="R10" s="107" t="str">
        <f aca="false">IF($C10="","",IF(Dashboard!$C$4="Gemiddeld per maand",$F10,IF(OR($D10="Per maand",$D10="Per week",$D10=""),$F10,IF($D10="Per jaar",IF(8=$W10,$C10,0),IF($D10="Per half jaar",IF(MOD(8-$W10,6)=0,$C10,0),IF($D10="Per kwartaal",IF(MOD(8-$W10,3)=0,$C10,0),$F10))))))</f>
        <v/>
      </c>
      <c r="S10" s="107" t="str">
        <f aca="false">IF($C10="","",IF(Dashboard!$C$4="Gemiddeld per maand",$F10,IF(OR($D10="Per maand",$D10="Per week",$D10=""),$F10,IF($D10="Per jaar",IF(9=$W10,$C10,0),IF($D10="Per half jaar",IF(MOD(9-$W10,6)=0,$C10,0),IF($D10="Per kwartaal",IF(MOD(9-$W10,3)=0,$C10,0),$F10))))))</f>
        <v/>
      </c>
      <c r="T10" s="107" t="str">
        <f aca="false">IF($C10="","",IF(Dashboard!$C$4="Gemiddeld per maand",$F10,IF(OR($D10="Per maand",$D10="Per week",$D10=""),$F10,IF($D10="Per jaar",IF(10=$W10,$C10,0),IF($D10="Per half jaar",IF(MOD(10-$W10,6)=0,$C10,0),IF($D10="Per kwartaal",IF(MOD(10-$W10,3)=0,$C10,0),$F10))))))</f>
        <v/>
      </c>
      <c r="U10" s="107" t="str">
        <f aca="false">IF($C10="","",IF(Dashboard!$C$4="Gemiddeld per maand",$F10,IF(OR($D10="Per maand",$D10="Per week",$D10=""),$F10,IF($D10="Per jaar",IF(11=$W10,$C10,0),IF($D10="Per half jaar",IF(MOD(11-$W10,6)=0,$C10,0),IF($D10="Per kwartaal",IF(MOD(11-$W10,3)=0,$C10,0),$F10))))))</f>
        <v/>
      </c>
      <c r="V10" s="107" t="str">
        <f aca="false">IF($C10="","",IF(Dashboard!$C$4="Gemiddeld per maand",$F10,IF(OR($D10="Per maand",$D10="Per week",$D10=""),$F10,IF($D10="Per jaar",IF(12=$W10,$C10,0),IF($D10="Per half jaar",IF(MOD(12-$W10,6)=0,$C10,0),IF($D10="Per kwartaal",IF(MOD(12-$W10,3)=0,$C10,0),$F10))))))</f>
        <v/>
      </c>
      <c r="W10" s="15" t="n">
        <f aca="false">IF($E10="",1,IFERROR(MATCH($E10,Lijsten!$K$6:$K$17,0),1))</f>
        <v>1</v>
      </c>
    </row>
    <row r="11" customFormat="false" ht="15" hidden="false" customHeight="false" outlineLevel="0" collapsed="false">
      <c r="A11" s="102"/>
      <c r="B11" s="102"/>
      <c r="C11" s="92"/>
      <c r="D11" s="102"/>
      <c r="E11" s="103"/>
      <c r="F11" s="104" t="str">
        <f aca="false">IF($C11="","",IF($D11="Per jaar",$C11/12,IF($D11="Per kwartaal",$C11/3,IF($D11="Per half jaar",$C11/6,IF($D11="Per week",$C11*52/12,$C11)))))</f>
        <v/>
      </c>
      <c r="G11" s="102"/>
      <c r="H11" s="103"/>
      <c r="I11" s="105"/>
      <c r="J11" s="106" t="str">
        <f aca="false">IF($C11="","",IF(Dashboard!$C$4="Gemiddeld per maand",$F11,IF(OR($D11="Per maand",$D11="Per week",$D11=""),$F11,IF($D11="Per jaar",IF(Dashboard!$N$2=$W11,$C11,0),IF($D11="Per half jaar",IF(MOD(Dashboard!$N$2-$W11,6)=0,$C11,0),IF($D11="Per kwartaal",IF(MOD(Dashboard!$N$2-$W11,3)=0,$C11,0),$F11))))))</f>
        <v/>
      </c>
      <c r="K11" s="107" t="str">
        <f aca="false">IF($C11="","",IF(Dashboard!$C$4="Gemiddeld per maand",$F11,IF(OR($D11="Per maand",$D11="Per week",$D11=""),$F11,IF($D11="Per jaar",IF(1=$W11,$C11,0),IF($D11="Per half jaar",IF(MOD(1-$W11,6)=0,$C11,0),IF($D11="Per kwartaal",IF(MOD(1-$W11,3)=0,$C11,0),$F11))))))</f>
        <v/>
      </c>
      <c r="L11" s="107" t="str">
        <f aca="false">IF($C11="","",IF(Dashboard!$C$4="Gemiddeld per maand",$F11,IF(OR($D11="Per maand",$D11="Per week",$D11=""),$F11,IF($D11="Per jaar",IF(2=$W11,$C11,0),IF($D11="Per half jaar",IF(MOD(2-$W11,6)=0,$C11,0),IF($D11="Per kwartaal",IF(MOD(2-$W11,3)=0,$C11,0),$F11))))))</f>
        <v/>
      </c>
      <c r="M11" s="107" t="str">
        <f aca="false">IF($C11="","",IF(Dashboard!$C$4="Gemiddeld per maand",$F11,IF(OR($D11="Per maand",$D11="Per week",$D11=""),$F11,IF($D11="Per jaar",IF(3=$W11,$C11,0),IF($D11="Per half jaar",IF(MOD(3-$W11,6)=0,$C11,0),IF($D11="Per kwartaal",IF(MOD(3-$W11,3)=0,$C11,0),$F11))))))</f>
        <v/>
      </c>
      <c r="N11" s="107" t="str">
        <f aca="false">IF($C11="","",IF(Dashboard!$C$4="Gemiddeld per maand",$F11,IF(OR($D11="Per maand",$D11="Per week",$D11=""),$F11,IF($D11="Per jaar",IF(4=$W11,$C11,0),IF($D11="Per half jaar",IF(MOD(4-$W11,6)=0,$C11,0),IF($D11="Per kwartaal",IF(MOD(4-$W11,3)=0,$C11,0),$F11))))))</f>
        <v/>
      </c>
      <c r="O11" s="107" t="str">
        <f aca="false">IF($C11="","",IF(Dashboard!$C$4="Gemiddeld per maand",$F11,IF(OR($D11="Per maand",$D11="Per week",$D11=""),$F11,IF($D11="Per jaar",IF(5=$W11,$C11,0),IF($D11="Per half jaar",IF(MOD(5-$W11,6)=0,$C11,0),IF($D11="Per kwartaal",IF(MOD(5-$W11,3)=0,$C11,0),$F11))))))</f>
        <v/>
      </c>
      <c r="P11" s="107" t="str">
        <f aca="false">IF($C11="","",IF(Dashboard!$C$4="Gemiddeld per maand",$F11,IF(OR($D11="Per maand",$D11="Per week",$D11=""),$F11,IF($D11="Per jaar",IF(6=$W11,$C11,0),IF($D11="Per half jaar",IF(MOD(6-$W11,6)=0,$C11,0),IF($D11="Per kwartaal",IF(MOD(6-$W11,3)=0,$C11,0),$F11))))))</f>
        <v/>
      </c>
      <c r="Q11" s="107" t="str">
        <f aca="false">IF($C11="","",IF(Dashboard!$C$4="Gemiddeld per maand",$F11,IF(OR($D11="Per maand",$D11="Per week",$D11=""),$F11,IF($D11="Per jaar",IF(7=$W11,$C11,0),IF($D11="Per half jaar",IF(MOD(7-$W11,6)=0,$C11,0),IF($D11="Per kwartaal",IF(MOD(7-$W11,3)=0,$C11,0),$F11))))))</f>
        <v/>
      </c>
      <c r="R11" s="107" t="str">
        <f aca="false">IF($C11="","",IF(Dashboard!$C$4="Gemiddeld per maand",$F11,IF(OR($D11="Per maand",$D11="Per week",$D11=""),$F11,IF($D11="Per jaar",IF(8=$W11,$C11,0),IF($D11="Per half jaar",IF(MOD(8-$W11,6)=0,$C11,0),IF($D11="Per kwartaal",IF(MOD(8-$W11,3)=0,$C11,0),$F11))))))</f>
        <v/>
      </c>
      <c r="S11" s="107" t="str">
        <f aca="false">IF($C11="","",IF(Dashboard!$C$4="Gemiddeld per maand",$F11,IF(OR($D11="Per maand",$D11="Per week",$D11=""),$F11,IF($D11="Per jaar",IF(9=$W11,$C11,0),IF($D11="Per half jaar",IF(MOD(9-$W11,6)=0,$C11,0),IF($D11="Per kwartaal",IF(MOD(9-$W11,3)=0,$C11,0),$F11))))))</f>
        <v/>
      </c>
      <c r="T11" s="107" t="str">
        <f aca="false">IF($C11="","",IF(Dashboard!$C$4="Gemiddeld per maand",$F11,IF(OR($D11="Per maand",$D11="Per week",$D11=""),$F11,IF($D11="Per jaar",IF(10=$W11,$C11,0),IF($D11="Per half jaar",IF(MOD(10-$W11,6)=0,$C11,0),IF($D11="Per kwartaal",IF(MOD(10-$W11,3)=0,$C11,0),$F11))))))</f>
        <v/>
      </c>
      <c r="U11" s="107" t="str">
        <f aca="false">IF($C11="","",IF(Dashboard!$C$4="Gemiddeld per maand",$F11,IF(OR($D11="Per maand",$D11="Per week",$D11=""),$F11,IF($D11="Per jaar",IF(11=$W11,$C11,0),IF($D11="Per half jaar",IF(MOD(11-$W11,6)=0,$C11,0),IF($D11="Per kwartaal",IF(MOD(11-$W11,3)=0,$C11,0),$F11))))))</f>
        <v/>
      </c>
      <c r="V11" s="107" t="str">
        <f aca="false">IF($C11="","",IF(Dashboard!$C$4="Gemiddeld per maand",$F11,IF(OR($D11="Per maand",$D11="Per week",$D11=""),$F11,IF($D11="Per jaar",IF(12=$W11,$C11,0),IF($D11="Per half jaar",IF(MOD(12-$W11,6)=0,$C11,0),IF($D11="Per kwartaal",IF(MOD(12-$W11,3)=0,$C11,0),$F11))))))</f>
        <v/>
      </c>
      <c r="W11" s="15" t="n">
        <f aca="false">IF($E11="",1,IFERROR(MATCH($E11,Lijsten!$K$6:$K$17,0),1))</f>
        <v>1</v>
      </c>
    </row>
    <row r="12" customFormat="false" ht="15" hidden="false" customHeight="false" outlineLevel="0" collapsed="false">
      <c r="A12" s="102"/>
      <c r="B12" s="102"/>
      <c r="C12" s="92"/>
      <c r="D12" s="102"/>
      <c r="E12" s="103"/>
      <c r="F12" s="104" t="str">
        <f aca="false">IF($C12="","",IF($D12="Per jaar",$C12/12,IF($D12="Per kwartaal",$C12/3,IF($D12="Per half jaar",$C12/6,IF($D12="Per week",$C12*52/12,$C12)))))</f>
        <v/>
      </c>
      <c r="G12" s="102"/>
      <c r="H12" s="103"/>
      <c r="I12" s="105"/>
      <c r="J12" s="106" t="str">
        <f aca="false">IF($C12="","",IF(Dashboard!$C$4="Gemiddeld per maand",$F12,IF(OR($D12="Per maand",$D12="Per week",$D12=""),$F12,IF($D12="Per jaar",IF(Dashboard!$N$2=$W12,$C12,0),IF($D12="Per half jaar",IF(MOD(Dashboard!$N$2-$W12,6)=0,$C12,0),IF($D12="Per kwartaal",IF(MOD(Dashboard!$N$2-$W12,3)=0,$C12,0),$F12))))))</f>
        <v/>
      </c>
      <c r="K12" s="107" t="str">
        <f aca="false">IF($C12="","",IF(Dashboard!$C$4="Gemiddeld per maand",$F12,IF(OR($D12="Per maand",$D12="Per week",$D12=""),$F12,IF($D12="Per jaar",IF(1=$W12,$C12,0),IF($D12="Per half jaar",IF(MOD(1-$W12,6)=0,$C12,0),IF($D12="Per kwartaal",IF(MOD(1-$W12,3)=0,$C12,0),$F12))))))</f>
        <v/>
      </c>
      <c r="L12" s="107" t="str">
        <f aca="false">IF($C12="","",IF(Dashboard!$C$4="Gemiddeld per maand",$F12,IF(OR($D12="Per maand",$D12="Per week",$D12=""),$F12,IF($D12="Per jaar",IF(2=$W12,$C12,0),IF($D12="Per half jaar",IF(MOD(2-$W12,6)=0,$C12,0),IF($D12="Per kwartaal",IF(MOD(2-$W12,3)=0,$C12,0),$F12))))))</f>
        <v/>
      </c>
      <c r="M12" s="107" t="str">
        <f aca="false">IF($C12="","",IF(Dashboard!$C$4="Gemiddeld per maand",$F12,IF(OR($D12="Per maand",$D12="Per week",$D12=""),$F12,IF($D12="Per jaar",IF(3=$W12,$C12,0),IF($D12="Per half jaar",IF(MOD(3-$W12,6)=0,$C12,0),IF($D12="Per kwartaal",IF(MOD(3-$W12,3)=0,$C12,0),$F12))))))</f>
        <v/>
      </c>
      <c r="N12" s="107" t="str">
        <f aca="false">IF($C12="","",IF(Dashboard!$C$4="Gemiddeld per maand",$F12,IF(OR($D12="Per maand",$D12="Per week",$D12=""),$F12,IF($D12="Per jaar",IF(4=$W12,$C12,0),IF($D12="Per half jaar",IF(MOD(4-$W12,6)=0,$C12,0),IF($D12="Per kwartaal",IF(MOD(4-$W12,3)=0,$C12,0),$F12))))))</f>
        <v/>
      </c>
      <c r="O12" s="107" t="str">
        <f aca="false">IF($C12="","",IF(Dashboard!$C$4="Gemiddeld per maand",$F12,IF(OR($D12="Per maand",$D12="Per week",$D12=""),$F12,IF($D12="Per jaar",IF(5=$W12,$C12,0),IF($D12="Per half jaar",IF(MOD(5-$W12,6)=0,$C12,0),IF($D12="Per kwartaal",IF(MOD(5-$W12,3)=0,$C12,0),$F12))))))</f>
        <v/>
      </c>
      <c r="P12" s="107" t="str">
        <f aca="false">IF($C12="","",IF(Dashboard!$C$4="Gemiddeld per maand",$F12,IF(OR($D12="Per maand",$D12="Per week",$D12=""),$F12,IF($D12="Per jaar",IF(6=$W12,$C12,0),IF($D12="Per half jaar",IF(MOD(6-$W12,6)=0,$C12,0),IF($D12="Per kwartaal",IF(MOD(6-$W12,3)=0,$C12,0),$F12))))))</f>
        <v/>
      </c>
      <c r="Q12" s="107" t="str">
        <f aca="false">IF($C12="","",IF(Dashboard!$C$4="Gemiddeld per maand",$F12,IF(OR($D12="Per maand",$D12="Per week",$D12=""),$F12,IF($D12="Per jaar",IF(7=$W12,$C12,0),IF($D12="Per half jaar",IF(MOD(7-$W12,6)=0,$C12,0),IF($D12="Per kwartaal",IF(MOD(7-$W12,3)=0,$C12,0),$F12))))))</f>
        <v/>
      </c>
      <c r="R12" s="107" t="str">
        <f aca="false">IF($C12="","",IF(Dashboard!$C$4="Gemiddeld per maand",$F12,IF(OR($D12="Per maand",$D12="Per week",$D12=""),$F12,IF($D12="Per jaar",IF(8=$W12,$C12,0),IF($D12="Per half jaar",IF(MOD(8-$W12,6)=0,$C12,0),IF($D12="Per kwartaal",IF(MOD(8-$W12,3)=0,$C12,0),$F12))))))</f>
        <v/>
      </c>
      <c r="S12" s="107" t="str">
        <f aca="false">IF($C12="","",IF(Dashboard!$C$4="Gemiddeld per maand",$F12,IF(OR($D12="Per maand",$D12="Per week",$D12=""),$F12,IF($D12="Per jaar",IF(9=$W12,$C12,0),IF($D12="Per half jaar",IF(MOD(9-$W12,6)=0,$C12,0),IF($D12="Per kwartaal",IF(MOD(9-$W12,3)=0,$C12,0),$F12))))))</f>
        <v/>
      </c>
      <c r="T12" s="107" t="str">
        <f aca="false">IF($C12="","",IF(Dashboard!$C$4="Gemiddeld per maand",$F12,IF(OR($D12="Per maand",$D12="Per week",$D12=""),$F12,IF($D12="Per jaar",IF(10=$W12,$C12,0),IF($D12="Per half jaar",IF(MOD(10-$W12,6)=0,$C12,0),IF($D12="Per kwartaal",IF(MOD(10-$W12,3)=0,$C12,0),$F12))))))</f>
        <v/>
      </c>
      <c r="U12" s="107" t="str">
        <f aca="false">IF($C12="","",IF(Dashboard!$C$4="Gemiddeld per maand",$F12,IF(OR($D12="Per maand",$D12="Per week",$D12=""),$F12,IF($D12="Per jaar",IF(11=$W12,$C12,0),IF($D12="Per half jaar",IF(MOD(11-$W12,6)=0,$C12,0),IF($D12="Per kwartaal",IF(MOD(11-$W12,3)=0,$C12,0),$F12))))))</f>
        <v/>
      </c>
      <c r="V12" s="107" t="str">
        <f aca="false">IF($C12="","",IF(Dashboard!$C$4="Gemiddeld per maand",$F12,IF(OR($D12="Per maand",$D12="Per week",$D12=""),$F12,IF($D12="Per jaar",IF(12=$W12,$C12,0),IF($D12="Per half jaar",IF(MOD(12-$W12,6)=0,$C12,0),IF($D12="Per kwartaal",IF(MOD(12-$W12,3)=0,$C12,0),$F12))))))</f>
        <v/>
      </c>
      <c r="W12" s="15" t="n">
        <f aca="false">IF($E12="",1,IFERROR(MATCH($E12,Lijsten!$K$6:$K$17,0),1))</f>
        <v>1</v>
      </c>
    </row>
    <row r="13" customFormat="false" ht="15" hidden="false" customHeight="false" outlineLevel="0" collapsed="false">
      <c r="A13" s="102"/>
      <c r="B13" s="102"/>
      <c r="C13" s="92"/>
      <c r="D13" s="102"/>
      <c r="E13" s="103"/>
      <c r="F13" s="104" t="str">
        <f aca="false">IF($C13="","",IF($D13="Per jaar",$C13/12,IF($D13="Per kwartaal",$C13/3,IF($D13="Per half jaar",$C13/6,IF($D13="Per week",$C13*52/12,$C13)))))</f>
        <v/>
      </c>
      <c r="G13" s="102"/>
      <c r="H13" s="103"/>
      <c r="I13" s="105"/>
      <c r="J13" s="106" t="str">
        <f aca="false">IF($C13="","",IF(Dashboard!$C$4="Gemiddeld per maand",$F13,IF(OR($D13="Per maand",$D13="Per week",$D13=""),$F13,IF($D13="Per jaar",IF(Dashboard!$N$2=$W13,$C13,0),IF($D13="Per half jaar",IF(MOD(Dashboard!$N$2-$W13,6)=0,$C13,0),IF($D13="Per kwartaal",IF(MOD(Dashboard!$N$2-$W13,3)=0,$C13,0),$F13))))))</f>
        <v/>
      </c>
      <c r="K13" s="107" t="str">
        <f aca="false">IF($C13="","",IF(Dashboard!$C$4="Gemiddeld per maand",$F13,IF(OR($D13="Per maand",$D13="Per week",$D13=""),$F13,IF($D13="Per jaar",IF(1=$W13,$C13,0),IF($D13="Per half jaar",IF(MOD(1-$W13,6)=0,$C13,0),IF($D13="Per kwartaal",IF(MOD(1-$W13,3)=0,$C13,0),$F13))))))</f>
        <v/>
      </c>
      <c r="L13" s="107" t="str">
        <f aca="false">IF($C13="","",IF(Dashboard!$C$4="Gemiddeld per maand",$F13,IF(OR($D13="Per maand",$D13="Per week",$D13=""),$F13,IF($D13="Per jaar",IF(2=$W13,$C13,0),IF($D13="Per half jaar",IF(MOD(2-$W13,6)=0,$C13,0),IF($D13="Per kwartaal",IF(MOD(2-$W13,3)=0,$C13,0),$F13))))))</f>
        <v/>
      </c>
      <c r="M13" s="107" t="str">
        <f aca="false">IF($C13="","",IF(Dashboard!$C$4="Gemiddeld per maand",$F13,IF(OR($D13="Per maand",$D13="Per week",$D13=""),$F13,IF($D13="Per jaar",IF(3=$W13,$C13,0),IF($D13="Per half jaar",IF(MOD(3-$W13,6)=0,$C13,0),IF($D13="Per kwartaal",IF(MOD(3-$W13,3)=0,$C13,0),$F13))))))</f>
        <v/>
      </c>
      <c r="N13" s="107" t="str">
        <f aca="false">IF($C13="","",IF(Dashboard!$C$4="Gemiddeld per maand",$F13,IF(OR($D13="Per maand",$D13="Per week",$D13=""),$F13,IF($D13="Per jaar",IF(4=$W13,$C13,0),IF($D13="Per half jaar",IF(MOD(4-$W13,6)=0,$C13,0),IF($D13="Per kwartaal",IF(MOD(4-$W13,3)=0,$C13,0),$F13))))))</f>
        <v/>
      </c>
      <c r="O13" s="107" t="str">
        <f aca="false">IF($C13="","",IF(Dashboard!$C$4="Gemiddeld per maand",$F13,IF(OR($D13="Per maand",$D13="Per week",$D13=""),$F13,IF($D13="Per jaar",IF(5=$W13,$C13,0),IF($D13="Per half jaar",IF(MOD(5-$W13,6)=0,$C13,0),IF($D13="Per kwartaal",IF(MOD(5-$W13,3)=0,$C13,0),$F13))))))</f>
        <v/>
      </c>
      <c r="P13" s="107" t="str">
        <f aca="false">IF($C13="","",IF(Dashboard!$C$4="Gemiddeld per maand",$F13,IF(OR($D13="Per maand",$D13="Per week",$D13=""),$F13,IF($D13="Per jaar",IF(6=$W13,$C13,0),IF($D13="Per half jaar",IF(MOD(6-$W13,6)=0,$C13,0),IF($D13="Per kwartaal",IF(MOD(6-$W13,3)=0,$C13,0),$F13))))))</f>
        <v/>
      </c>
      <c r="Q13" s="107" t="str">
        <f aca="false">IF($C13="","",IF(Dashboard!$C$4="Gemiddeld per maand",$F13,IF(OR($D13="Per maand",$D13="Per week",$D13=""),$F13,IF($D13="Per jaar",IF(7=$W13,$C13,0),IF($D13="Per half jaar",IF(MOD(7-$W13,6)=0,$C13,0),IF($D13="Per kwartaal",IF(MOD(7-$W13,3)=0,$C13,0),$F13))))))</f>
        <v/>
      </c>
      <c r="R13" s="107" t="str">
        <f aca="false">IF($C13="","",IF(Dashboard!$C$4="Gemiddeld per maand",$F13,IF(OR($D13="Per maand",$D13="Per week",$D13=""),$F13,IF($D13="Per jaar",IF(8=$W13,$C13,0),IF($D13="Per half jaar",IF(MOD(8-$W13,6)=0,$C13,0),IF($D13="Per kwartaal",IF(MOD(8-$W13,3)=0,$C13,0),$F13))))))</f>
        <v/>
      </c>
      <c r="S13" s="107" t="str">
        <f aca="false">IF($C13="","",IF(Dashboard!$C$4="Gemiddeld per maand",$F13,IF(OR($D13="Per maand",$D13="Per week",$D13=""),$F13,IF($D13="Per jaar",IF(9=$W13,$C13,0),IF($D13="Per half jaar",IF(MOD(9-$W13,6)=0,$C13,0),IF($D13="Per kwartaal",IF(MOD(9-$W13,3)=0,$C13,0),$F13))))))</f>
        <v/>
      </c>
      <c r="T13" s="107" t="str">
        <f aca="false">IF($C13="","",IF(Dashboard!$C$4="Gemiddeld per maand",$F13,IF(OR($D13="Per maand",$D13="Per week",$D13=""),$F13,IF($D13="Per jaar",IF(10=$W13,$C13,0),IF($D13="Per half jaar",IF(MOD(10-$W13,6)=0,$C13,0),IF($D13="Per kwartaal",IF(MOD(10-$W13,3)=0,$C13,0),$F13))))))</f>
        <v/>
      </c>
      <c r="U13" s="107" t="str">
        <f aca="false">IF($C13="","",IF(Dashboard!$C$4="Gemiddeld per maand",$F13,IF(OR($D13="Per maand",$D13="Per week",$D13=""),$F13,IF($D13="Per jaar",IF(11=$W13,$C13,0),IF($D13="Per half jaar",IF(MOD(11-$W13,6)=0,$C13,0),IF($D13="Per kwartaal",IF(MOD(11-$W13,3)=0,$C13,0),$F13))))))</f>
        <v/>
      </c>
      <c r="V13" s="107" t="str">
        <f aca="false">IF($C13="","",IF(Dashboard!$C$4="Gemiddeld per maand",$F13,IF(OR($D13="Per maand",$D13="Per week",$D13=""),$F13,IF($D13="Per jaar",IF(12=$W13,$C13,0),IF($D13="Per half jaar",IF(MOD(12-$W13,6)=0,$C13,0),IF($D13="Per kwartaal",IF(MOD(12-$W13,3)=0,$C13,0),$F13))))))</f>
        <v/>
      </c>
      <c r="W13" s="15" t="n">
        <f aca="false">IF($E13="",1,IFERROR(MATCH($E13,Lijsten!$K$6:$K$17,0),1))</f>
        <v>1</v>
      </c>
    </row>
    <row r="14" customFormat="false" ht="15" hidden="false" customHeight="false" outlineLevel="0" collapsed="false">
      <c r="A14" s="102"/>
      <c r="B14" s="102"/>
      <c r="C14" s="92"/>
      <c r="D14" s="102"/>
      <c r="E14" s="103"/>
      <c r="F14" s="104" t="str">
        <f aca="false">IF($C14="","",IF($D14="Per jaar",$C14/12,IF($D14="Per kwartaal",$C14/3,IF($D14="Per half jaar",$C14/6,IF($D14="Per week",$C14*52/12,$C14)))))</f>
        <v/>
      </c>
      <c r="G14" s="102"/>
      <c r="H14" s="103"/>
      <c r="I14" s="105"/>
      <c r="J14" s="106" t="str">
        <f aca="false">IF($C14="","",IF(Dashboard!$C$4="Gemiddeld per maand",$F14,IF(OR($D14="Per maand",$D14="Per week",$D14=""),$F14,IF($D14="Per jaar",IF(Dashboard!$N$2=$W14,$C14,0),IF($D14="Per half jaar",IF(MOD(Dashboard!$N$2-$W14,6)=0,$C14,0),IF($D14="Per kwartaal",IF(MOD(Dashboard!$N$2-$W14,3)=0,$C14,0),$F14))))))</f>
        <v/>
      </c>
      <c r="K14" s="107" t="str">
        <f aca="false">IF($C14="","",IF(Dashboard!$C$4="Gemiddeld per maand",$F14,IF(OR($D14="Per maand",$D14="Per week",$D14=""),$F14,IF($D14="Per jaar",IF(1=$W14,$C14,0),IF($D14="Per half jaar",IF(MOD(1-$W14,6)=0,$C14,0),IF($D14="Per kwartaal",IF(MOD(1-$W14,3)=0,$C14,0),$F14))))))</f>
        <v/>
      </c>
      <c r="L14" s="107" t="str">
        <f aca="false">IF($C14="","",IF(Dashboard!$C$4="Gemiddeld per maand",$F14,IF(OR($D14="Per maand",$D14="Per week",$D14=""),$F14,IF($D14="Per jaar",IF(2=$W14,$C14,0),IF($D14="Per half jaar",IF(MOD(2-$W14,6)=0,$C14,0),IF($D14="Per kwartaal",IF(MOD(2-$W14,3)=0,$C14,0),$F14))))))</f>
        <v/>
      </c>
      <c r="M14" s="107" t="str">
        <f aca="false">IF($C14="","",IF(Dashboard!$C$4="Gemiddeld per maand",$F14,IF(OR($D14="Per maand",$D14="Per week",$D14=""),$F14,IF($D14="Per jaar",IF(3=$W14,$C14,0),IF($D14="Per half jaar",IF(MOD(3-$W14,6)=0,$C14,0),IF($D14="Per kwartaal",IF(MOD(3-$W14,3)=0,$C14,0),$F14))))))</f>
        <v/>
      </c>
      <c r="N14" s="107" t="str">
        <f aca="false">IF($C14="","",IF(Dashboard!$C$4="Gemiddeld per maand",$F14,IF(OR($D14="Per maand",$D14="Per week",$D14=""),$F14,IF($D14="Per jaar",IF(4=$W14,$C14,0),IF($D14="Per half jaar",IF(MOD(4-$W14,6)=0,$C14,0),IF($D14="Per kwartaal",IF(MOD(4-$W14,3)=0,$C14,0),$F14))))))</f>
        <v/>
      </c>
      <c r="O14" s="107" t="str">
        <f aca="false">IF($C14="","",IF(Dashboard!$C$4="Gemiddeld per maand",$F14,IF(OR($D14="Per maand",$D14="Per week",$D14=""),$F14,IF($D14="Per jaar",IF(5=$W14,$C14,0),IF($D14="Per half jaar",IF(MOD(5-$W14,6)=0,$C14,0),IF($D14="Per kwartaal",IF(MOD(5-$W14,3)=0,$C14,0),$F14))))))</f>
        <v/>
      </c>
      <c r="P14" s="107" t="str">
        <f aca="false">IF($C14="","",IF(Dashboard!$C$4="Gemiddeld per maand",$F14,IF(OR($D14="Per maand",$D14="Per week",$D14=""),$F14,IF($D14="Per jaar",IF(6=$W14,$C14,0),IF($D14="Per half jaar",IF(MOD(6-$W14,6)=0,$C14,0),IF($D14="Per kwartaal",IF(MOD(6-$W14,3)=0,$C14,0),$F14))))))</f>
        <v/>
      </c>
      <c r="Q14" s="107" t="str">
        <f aca="false">IF($C14="","",IF(Dashboard!$C$4="Gemiddeld per maand",$F14,IF(OR($D14="Per maand",$D14="Per week",$D14=""),$F14,IF($D14="Per jaar",IF(7=$W14,$C14,0),IF($D14="Per half jaar",IF(MOD(7-$W14,6)=0,$C14,0),IF($D14="Per kwartaal",IF(MOD(7-$W14,3)=0,$C14,0),$F14))))))</f>
        <v/>
      </c>
      <c r="R14" s="107" t="str">
        <f aca="false">IF($C14="","",IF(Dashboard!$C$4="Gemiddeld per maand",$F14,IF(OR($D14="Per maand",$D14="Per week",$D14=""),$F14,IF($D14="Per jaar",IF(8=$W14,$C14,0),IF($D14="Per half jaar",IF(MOD(8-$W14,6)=0,$C14,0),IF($D14="Per kwartaal",IF(MOD(8-$W14,3)=0,$C14,0),$F14))))))</f>
        <v/>
      </c>
      <c r="S14" s="107" t="str">
        <f aca="false">IF($C14="","",IF(Dashboard!$C$4="Gemiddeld per maand",$F14,IF(OR($D14="Per maand",$D14="Per week",$D14=""),$F14,IF($D14="Per jaar",IF(9=$W14,$C14,0),IF($D14="Per half jaar",IF(MOD(9-$W14,6)=0,$C14,0),IF($D14="Per kwartaal",IF(MOD(9-$W14,3)=0,$C14,0),$F14))))))</f>
        <v/>
      </c>
      <c r="T14" s="107" t="str">
        <f aca="false">IF($C14="","",IF(Dashboard!$C$4="Gemiddeld per maand",$F14,IF(OR($D14="Per maand",$D14="Per week",$D14=""),$F14,IF($D14="Per jaar",IF(10=$W14,$C14,0),IF($D14="Per half jaar",IF(MOD(10-$W14,6)=0,$C14,0),IF($D14="Per kwartaal",IF(MOD(10-$W14,3)=0,$C14,0),$F14))))))</f>
        <v/>
      </c>
      <c r="U14" s="107" t="str">
        <f aca="false">IF($C14="","",IF(Dashboard!$C$4="Gemiddeld per maand",$F14,IF(OR($D14="Per maand",$D14="Per week",$D14=""),$F14,IF($D14="Per jaar",IF(11=$W14,$C14,0),IF($D14="Per half jaar",IF(MOD(11-$W14,6)=0,$C14,0),IF($D14="Per kwartaal",IF(MOD(11-$W14,3)=0,$C14,0),$F14))))))</f>
        <v/>
      </c>
      <c r="V14" s="107" t="str">
        <f aca="false">IF($C14="","",IF(Dashboard!$C$4="Gemiddeld per maand",$F14,IF(OR($D14="Per maand",$D14="Per week",$D14=""),$F14,IF($D14="Per jaar",IF(12=$W14,$C14,0),IF($D14="Per half jaar",IF(MOD(12-$W14,6)=0,$C14,0),IF($D14="Per kwartaal",IF(MOD(12-$W14,3)=0,$C14,0),$F14))))))</f>
        <v/>
      </c>
      <c r="W14" s="15" t="n">
        <f aca="false">IF($E14="",1,IFERROR(MATCH($E14,Lijsten!$K$6:$K$17,0),1))</f>
        <v>1</v>
      </c>
    </row>
    <row r="15" customFormat="false" ht="15" hidden="false" customHeight="false" outlineLevel="0" collapsed="false">
      <c r="A15" s="102"/>
      <c r="B15" s="102"/>
      <c r="C15" s="92"/>
      <c r="D15" s="102"/>
      <c r="E15" s="103"/>
      <c r="F15" s="104" t="str">
        <f aca="false">IF($C15="","",IF($D15="Per jaar",$C15/12,IF($D15="Per kwartaal",$C15/3,IF($D15="Per half jaar",$C15/6,IF($D15="Per week",$C15*52/12,$C15)))))</f>
        <v/>
      </c>
      <c r="G15" s="102"/>
      <c r="H15" s="103"/>
      <c r="I15" s="105"/>
      <c r="J15" s="106" t="str">
        <f aca="false">IF($C15="","",IF(Dashboard!$C$4="Gemiddeld per maand",$F15,IF(OR($D15="Per maand",$D15="Per week",$D15=""),$F15,IF($D15="Per jaar",IF(Dashboard!$N$2=$W15,$C15,0),IF($D15="Per half jaar",IF(MOD(Dashboard!$N$2-$W15,6)=0,$C15,0),IF($D15="Per kwartaal",IF(MOD(Dashboard!$N$2-$W15,3)=0,$C15,0),$F15))))))</f>
        <v/>
      </c>
      <c r="K15" s="107" t="str">
        <f aca="false">IF($C15="","",IF(Dashboard!$C$4="Gemiddeld per maand",$F15,IF(OR($D15="Per maand",$D15="Per week",$D15=""),$F15,IF($D15="Per jaar",IF(1=$W15,$C15,0),IF($D15="Per half jaar",IF(MOD(1-$W15,6)=0,$C15,0),IF($D15="Per kwartaal",IF(MOD(1-$W15,3)=0,$C15,0),$F15))))))</f>
        <v/>
      </c>
      <c r="L15" s="107" t="str">
        <f aca="false">IF($C15="","",IF(Dashboard!$C$4="Gemiddeld per maand",$F15,IF(OR($D15="Per maand",$D15="Per week",$D15=""),$F15,IF($D15="Per jaar",IF(2=$W15,$C15,0),IF($D15="Per half jaar",IF(MOD(2-$W15,6)=0,$C15,0),IF($D15="Per kwartaal",IF(MOD(2-$W15,3)=0,$C15,0),$F15))))))</f>
        <v/>
      </c>
      <c r="M15" s="107" t="str">
        <f aca="false">IF($C15="","",IF(Dashboard!$C$4="Gemiddeld per maand",$F15,IF(OR($D15="Per maand",$D15="Per week",$D15=""),$F15,IF($D15="Per jaar",IF(3=$W15,$C15,0),IF($D15="Per half jaar",IF(MOD(3-$W15,6)=0,$C15,0),IF($D15="Per kwartaal",IF(MOD(3-$W15,3)=0,$C15,0),$F15))))))</f>
        <v/>
      </c>
      <c r="N15" s="107" t="str">
        <f aca="false">IF($C15="","",IF(Dashboard!$C$4="Gemiddeld per maand",$F15,IF(OR($D15="Per maand",$D15="Per week",$D15=""),$F15,IF($D15="Per jaar",IF(4=$W15,$C15,0),IF($D15="Per half jaar",IF(MOD(4-$W15,6)=0,$C15,0),IF($D15="Per kwartaal",IF(MOD(4-$W15,3)=0,$C15,0),$F15))))))</f>
        <v/>
      </c>
      <c r="O15" s="107" t="str">
        <f aca="false">IF($C15="","",IF(Dashboard!$C$4="Gemiddeld per maand",$F15,IF(OR($D15="Per maand",$D15="Per week",$D15=""),$F15,IF($D15="Per jaar",IF(5=$W15,$C15,0),IF($D15="Per half jaar",IF(MOD(5-$W15,6)=0,$C15,0),IF($D15="Per kwartaal",IF(MOD(5-$W15,3)=0,$C15,0),$F15))))))</f>
        <v/>
      </c>
      <c r="P15" s="107" t="str">
        <f aca="false">IF($C15="","",IF(Dashboard!$C$4="Gemiddeld per maand",$F15,IF(OR($D15="Per maand",$D15="Per week",$D15=""),$F15,IF($D15="Per jaar",IF(6=$W15,$C15,0),IF($D15="Per half jaar",IF(MOD(6-$W15,6)=0,$C15,0),IF($D15="Per kwartaal",IF(MOD(6-$W15,3)=0,$C15,0),$F15))))))</f>
        <v/>
      </c>
      <c r="Q15" s="107" t="str">
        <f aca="false">IF($C15="","",IF(Dashboard!$C$4="Gemiddeld per maand",$F15,IF(OR($D15="Per maand",$D15="Per week",$D15=""),$F15,IF($D15="Per jaar",IF(7=$W15,$C15,0),IF($D15="Per half jaar",IF(MOD(7-$W15,6)=0,$C15,0),IF($D15="Per kwartaal",IF(MOD(7-$W15,3)=0,$C15,0),$F15))))))</f>
        <v/>
      </c>
      <c r="R15" s="107" t="str">
        <f aca="false">IF($C15="","",IF(Dashboard!$C$4="Gemiddeld per maand",$F15,IF(OR($D15="Per maand",$D15="Per week",$D15=""),$F15,IF($D15="Per jaar",IF(8=$W15,$C15,0),IF($D15="Per half jaar",IF(MOD(8-$W15,6)=0,$C15,0),IF($D15="Per kwartaal",IF(MOD(8-$W15,3)=0,$C15,0),$F15))))))</f>
        <v/>
      </c>
      <c r="S15" s="107" t="str">
        <f aca="false">IF($C15="","",IF(Dashboard!$C$4="Gemiddeld per maand",$F15,IF(OR($D15="Per maand",$D15="Per week",$D15=""),$F15,IF($D15="Per jaar",IF(9=$W15,$C15,0),IF($D15="Per half jaar",IF(MOD(9-$W15,6)=0,$C15,0),IF($D15="Per kwartaal",IF(MOD(9-$W15,3)=0,$C15,0),$F15))))))</f>
        <v/>
      </c>
      <c r="T15" s="107" t="str">
        <f aca="false">IF($C15="","",IF(Dashboard!$C$4="Gemiddeld per maand",$F15,IF(OR($D15="Per maand",$D15="Per week",$D15=""),$F15,IF($D15="Per jaar",IF(10=$W15,$C15,0),IF($D15="Per half jaar",IF(MOD(10-$W15,6)=0,$C15,0),IF($D15="Per kwartaal",IF(MOD(10-$W15,3)=0,$C15,0),$F15))))))</f>
        <v/>
      </c>
      <c r="U15" s="107" t="str">
        <f aca="false">IF($C15="","",IF(Dashboard!$C$4="Gemiddeld per maand",$F15,IF(OR($D15="Per maand",$D15="Per week",$D15=""),$F15,IF($D15="Per jaar",IF(11=$W15,$C15,0),IF($D15="Per half jaar",IF(MOD(11-$W15,6)=0,$C15,0),IF($D15="Per kwartaal",IF(MOD(11-$W15,3)=0,$C15,0),$F15))))))</f>
        <v/>
      </c>
      <c r="V15" s="107" t="str">
        <f aca="false">IF($C15="","",IF(Dashboard!$C$4="Gemiddeld per maand",$F15,IF(OR($D15="Per maand",$D15="Per week",$D15=""),$F15,IF($D15="Per jaar",IF(12=$W15,$C15,0),IF($D15="Per half jaar",IF(MOD(12-$W15,6)=0,$C15,0),IF($D15="Per kwartaal",IF(MOD(12-$W15,3)=0,$C15,0),$F15))))))</f>
        <v/>
      </c>
      <c r="W15" s="15" t="n">
        <f aca="false">IF($E15="",1,IFERROR(MATCH($E15,Lijsten!$K$6:$K$17,0),1))</f>
        <v>1</v>
      </c>
    </row>
    <row r="16" customFormat="false" ht="15" hidden="false" customHeight="false" outlineLevel="0" collapsed="false">
      <c r="A16" s="102"/>
      <c r="B16" s="102"/>
      <c r="C16" s="92"/>
      <c r="D16" s="102"/>
      <c r="E16" s="103"/>
      <c r="F16" s="104" t="str">
        <f aca="false">IF($C16="","",IF($D16="Per jaar",$C16/12,IF($D16="Per kwartaal",$C16/3,IF($D16="Per half jaar",$C16/6,IF($D16="Per week",$C16*52/12,$C16)))))</f>
        <v/>
      </c>
      <c r="G16" s="102"/>
      <c r="H16" s="103"/>
      <c r="I16" s="105"/>
      <c r="J16" s="106" t="str">
        <f aca="false">IF($C16="","",IF(Dashboard!$C$4="Gemiddeld per maand",$F16,IF(OR($D16="Per maand",$D16="Per week",$D16=""),$F16,IF($D16="Per jaar",IF(Dashboard!$N$2=$W16,$C16,0),IF($D16="Per half jaar",IF(MOD(Dashboard!$N$2-$W16,6)=0,$C16,0),IF($D16="Per kwartaal",IF(MOD(Dashboard!$N$2-$W16,3)=0,$C16,0),$F16))))))</f>
        <v/>
      </c>
      <c r="K16" s="107" t="str">
        <f aca="false">IF($C16="","",IF(Dashboard!$C$4="Gemiddeld per maand",$F16,IF(OR($D16="Per maand",$D16="Per week",$D16=""),$F16,IF($D16="Per jaar",IF(1=$W16,$C16,0),IF($D16="Per half jaar",IF(MOD(1-$W16,6)=0,$C16,0),IF($D16="Per kwartaal",IF(MOD(1-$W16,3)=0,$C16,0),$F16))))))</f>
        <v/>
      </c>
      <c r="L16" s="107" t="str">
        <f aca="false">IF($C16="","",IF(Dashboard!$C$4="Gemiddeld per maand",$F16,IF(OR($D16="Per maand",$D16="Per week",$D16=""),$F16,IF($D16="Per jaar",IF(2=$W16,$C16,0),IF($D16="Per half jaar",IF(MOD(2-$W16,6)=0,$C16,0),IF($D16="Per kwartaal",IF(MOD(2-$W16,3)=0,$C16,0),$F16))))))</f>
        <v/>
      </c>
      <c r="M16" s="107" t="str">
        <f aca="false">IF($C16="","",IF(Dashboard!$C$4="Gemiddeld per maand",$F16,IF(OR($D16="Per maand",$D16="Per week",$D16=""),$F16,IF($D16="Per jaar",IF(3=$W16,$C16,0),IF($D16="Per half jaar",IF(MOD(3-$W16,6)=0,$C16,0),IF($D16="Per kwartaal",IF(MOD(3-$W16,3)=0,$C16,0),$F16))))))</f>
        <v/>
      </c>
      <c r="N16" s="107" t="str">
        <f aca="false">IF($C16="","",IF(Dashboard!$C$4="Gemiddeld per maand",$F16,IF(OR($D16="Per maand",$D16="Per week",$D16=""),$F16,IF($D16="Per jaar",IF(4=$W16,$C16,0),IF($D16="Per half jaar",IF(MOD(4-$W16,6)=0,$C16,0),IF($D16="Per kwartaal",IF(MOD(4-$W16,3)=0,$C16,0),$F16))))))</f>
        <v/>
      </c>
      <c r="O16" s="107" t="str">
        <f aca="false">IF($C16="","",IF(Dashboard!$C$4="Gemiddeld per maand",$F16,IF(OR($D16="Per maand",$D16="Per week",$D16=""),$F16,IF($D16="Per jaar",IF(5=$W16,$C16,0),IF($D16="Per half jaar",IF(MOD(5-$W16,6)=0,$C16,0),IF($D16="Per kwartaal",IF(MOD(5-$W16,3)=0,$C16,0),$F16))))))</f>
        <v/>
      </c>
      <c r="P16" s="107" t="str">
        <f aca="false">IF($C16="","",IF(Dashboard!$C$4="Gemiddeld per maand",$F16,IF(OR($D16="Per maand",$D16="Per week",$D16=""),$F16,IF($D16="Per jaar",IF(6=$W16,$C16,0),IF($D16="Per half jaar",IF(MOD(6-$W16,6)=0,$C16,0),IF($D16="Per kwartaal",IF(MOD(6-$W16,3)=0,$C16,0),$F16))))))</f>
        <v/>
      </c>
      <c r="Q16" s="107" t="str">
        <f aca="false">IF($C16="","",IF(Dashboard!$C$4="Gemiddeld per maand",$F16,IF(OR($D16="Per maand",$D16="Per week",$D16=""),$F16,IF($D16="Per jaar",IF(7=$W16,$C16,0),IF($D16="Per half jaar",IF(MOD(7-$W16,6)=0,$C16,0),IF($D16="Per kwartaal",IF(MOD(7-$W16,3)=0,$C16,0),$F16))))))</f>
        <v/>
      </c>
      <c r="R16" s="107" t="str">
        <f aca="false">IF($C16="","",IF(Dashboard!$C$4="Gemiddeld per maand",$F16,IF(OR($D16="Per maand",$D16="Per week",$D16=""),$F16,IF($D16="Per jaar",IF(8=$W16,$C16,0),IF($D16="Per half jaar",IF(MOD(8-$W16,6)=0,$C16,0),IF($D16="Per kwartaal",IF(MOD(8-$W16,3)=0,$C16,0),$F16))))))</f>
        <v/>
      </c>
      <c r="S16" s="107" t="str">
        <f aca="false">IF($C16="","",IF(Dashboard!$C$4="Gemiddeld per maand",$F16,IF(OR($D16="Per maand",$D16="Per week",$D16=""),$F16,IF($D16="Per jaar",IF(9=$W16,$C16,0),IF($D16="Per half jaar",IF(MOD(9-$W16,6)=0,$C16,0),IF($D16="Per kwartaal",IF(MOD(9-$W16,3)=0,$C16,0),$F16))))))</f>
        <v/>
      </c>
      <c r="T16" s="107" t="str">
        <f aca="false">IF($C16="","",IF(Dashboard!$C$4="Gemiddeld per maand",$F16,IF(OR($D16="Per maand",$D16="Per week",$D16=""),$F16,IF($D16="Per jaar",IF(10=$W16,$C16,0),IF($D16="Per half jaar",IF(MOD(10-$W16,6)=0,$C16,0),IF($D16="Per kwartaal",IF(MOD(10-$W16,3)=0,$C16,0),$F16))))))</f>
        <v/>
      </c>
      <c r="U16" s="107" t="str">
        <f aca="false">IF($C16="","",IF(Dashboard!$C$4="Gemiddeld per maand",$F16,IF(OR($D16="Per maand",$D16="Per week",$D16=""),$F16,IF($D16="Per jaar",IF(11=$W16,$C16,0),IF($D16="Per half jaar",IF(MOD(11-$W16,6)=0,$C16,0),IF($D16="Per kwartaal",IF(MOD(11-$W16,3)=0,$C16,0),$F16))))))</f>
        <v/>
      </c>
      <c r="V16" s="107" t="str">
        <f aca="false">IF($C16="","",IF(Dashboard!$C$4="Gemiddeld per maand",$F16,IF(OR($D16="Per maand",$D16="Per week",$D16=""),$F16,IF($D16="Per jaar",IF(12=$W16,$C16,0),IF($D16="Per half jaar",IF(MOD(12-$W16,6)=0,$C16,0),IF($D16="Per kwartaal",IF(MOD(12-$W16,3)=0,$C16,0),$F16))))))</f>
        <v/>
      </c>
      <c r="W16" s="15" t="n">
        <f aca="false">IF($E16="",1,IFERROR(MATCH($E16,Lijsten!$K$6:$K$17,0),1))</f>
        <v>1</v>
      </c>
    </row>
    <row r="17" customFormat="false" ht="15" hidden="false" customHeight="false" outlineLevel="0" collapsed="false">
      <c r="A17" s="102"/>
      <c r="B17" s="102"/>
      <c r="C17" s="92"/>
      <c r="D17" s="102"/>
      <c r="E17" s="103"/>
      <c r="F17" s="104" t="str">
        <f aca="false">IF($C17="","",IF($D17="Per jaar",$C17/12,IF($D17="Per kwartaal",$C17/3,IF($D17="Per half jaar",$C17/6,IF($D17="Per week",$C17*52/12,$C17)))))</f>
        <v/>
      </c>
      <c r="G17" s="102"/>
      <c r="H17" s="103"/>
      <c r="I17" s="105"/>
      <c r="J17" s="106" t="str">
        <f aca="false">IF($C17="","",IF(Dashboard!$C$4="Gemiddeld per maand",$F17,IF(OR($D17="Per maand",$D17="Per week",$D17=""),$F17,IF($D17="Per jaar",IF(Dashboard!$N$2=$W17,$C17,0),IF($D17="Per half jaar",IF(MOD(Dashboard!$N$2-$W17,6)=0,$C17,0),IF($D17="Per kwartaal",IF(MOD(Dashboard!$N$2-$W17,3)=0,$C17,0),$F17))))))</f>
        <v/>
      </c>
      <c r="K17" s="107" t="str">
        <f aca="false">IF($C17="","",IF(Dashboard!$C$4="Gemiddeld per maand",$F17,IF(OR($D17="Per maand",$D17="Per week",$D17=""),$F17,IF($D17="Per jaar",IF(1=$W17,$C17,0),IF($D17="Per half jaar",IF(MOD(1-$W17,6)=0,$C17,0),IF($D17="Per kwartaal",IF(MOD(1-$W17,3)=0,$C17,0),$F17))))))</f>
        <v/>
      </c>
      <c r="L17" s="107" t="str">
        <f aca="false">IF($C17="","",IF(Dashboard!$C$4="Gemiddeld per maand",$F17,IF(OR($D17="Per maand",$D17="Per week",$D17=""),$F17,IF($D17="Per jaar",IF(2=$W17,$C17,0),IF($D17="Per half jaar",IF(MOD(2-$W17,6)=0,$C17,0),IF($D17="Per kwartaal",IF(MOD(2-$W17,3)=0,$C17,0),$F17))))))</f>
        <v/>
      </c>
      <c r="M17" s="107" t="str">
        <f aca="false">IF($C17="","",IF(Dashboard!$C$4="Gemiddeld per maand",$F17,IF(OR($D17="Per maand",$D17="Per week",$D17=""),$F17,IF($D17="Per jaar",IF(3=$W17,$C17,0),IF($D17="Per half jaar",IF(MOD(3-$W17,6)=0,$C17,0),IF($D17="Per kwartaal",IF(MOD(3-$W17,3)=0,$C17,0),$F17))))))</f>
        <v/>
      </c>
      <c r="N17" s="107" t="str">
        <f aca="false">IF($C17="","",IF(Dashboard!$C$4="Gemiddeld per maand",$F17,IF(OR($D17="Per maand",$D17="Per week",$D17=""),$F17,IF($D17="Per jaar",IF(4=$W17,$C17,0),IF($D17="Per half jaar",IF(MOD(4-$W17,6)=0,$C17,0),IF($D17="Per kwartaal",IF(MOD(4-$W17,3)=0,$C17,0),$F17))))))</f>
        <v/>
      </c>
      <c r="O17" s="107" t="str">
        <f aca="false">IF($C17="","",IF(Dashboard!$C$4="Gemiddeld per maand",$F17,IF(OR($D17="Per maand",$D17="Per week",$D17=""),$F17,IF($D17="Per jaar",IF(5=$W17,$C17,0),IF($D17="Per half jaar",IF(MOD(5-$W17,6)=0,$C17,0),IF($D17="Per kwartaal",IF(MOD(5-$W17,3)=0,$C17,0),$F17))))))</f>
        <v/>
      </c>
      <c r="P17" s="107" t="str">
        <f aca="false">IF($C17="","",IF(Dashboard!$C$4="Gemiddeld per maand",$F17,IF(OR($D17="Per maand",$D17="Per week",$D17=""),$F17,IF($D17="Per jaar",IF(6=$W17,$C17,0),IF($D17="Per half jaar",IF(MOD(6-$W17,6)=0,$C17,0),IF($D17="Per kwartaal",IF(MOD(6-$W17,3)=0,$C17,0),$F17))))))</f>
        <v/>
      </c>
      <c r="Q17" s="107" t="str">
        <f aca="false">IF($C17="","",IF(Dashboard!$C$4="Gemiddeld per maand",$F17,IF(OR($D17="Per maand",$D17="Per week",$D17=""),$F17,IF($D17="Per jaar",IF(7=$W17,$C17,0),IF($D17="Per half jaar",IF(MOD(7-$W17,6)=0,$C17,0),IF($D17="Per kwartaal",IF(MOD(7-$W17,3)=0,$C17,0),$F17))))))</f>
        <v/>
      </c>
      <c r="R17" s="107" t="str">
        <f aca="false">IF($C17="","",IF(Dashboard!$C$4="Gemiddeld per maand",$F17,IF(OR($D17="Per maand",$D17="Per week",$D17=""),$F17,IF($D17="Per jaar",IF(8=$W17,$C17,0),IF($D17="Per half jaar",IF(MOD(8-$W17,6)=0,$C17,0),IF($D17="Per kwartaal",IF(MOD(8-$W17,3)=0,$C17,0),$F17))))))</f>
        <v/>
      </c>
      <c r="S17" s="107" t="str">
        <f aca="false">IF($C17="","",IF(Dashboard!$C$4="Gemiddeld per maand",$F17,IF(OR($D17="Per maand",$D17="Per week",$D17=""),$F17,IF($D17="Per jaar",IF(9=$W17,$C17,0),IF($D17="Per half jaar",IF(MOD(9-$W17,6)=0,$C17,0),IF($D17="Per kwartaal",IF(MOD(9-$W17,3)=0,$C17,0),$F17))))))</f>
        <v/>
      </c>
      <c r="T17" s="107" t="str">
        <f aca="false">IF($C17="","",IF(Dashboard!$C$4="Gemiddeld per maand",$F17,IF(OR($D17="Per maand",$D17="Per week",$D17=""),$F17,IF($D17="Per jaar",IF(10=$W17,$C17,0),IF($D17="Per half jaar",IF(MOD(10-$W17,6)=0,$C17,0),IF($D17="Per kwartaal",IF(MOD(10-$W17,3)=0,$C17,0),$F17))))))</f>
        <v/>
      </c>
      <c r="U17" s="107" t="str">
        <f aca="false">IF($C17="","",IF(Dashboard!$C$4="Gemiddeld per maand",$F17,IF(OR($D17="Per maand",$D17="Per week",$D17=""),$F17,IF($D17="Per jaar",IF(11=$W17,$C17,0),IF($D17="Per half jaar",IF(MOD(11-$W17,6)=0,$C17,0),IF($D17="Per kwartaal",IF(MOD(11-$W17,3)=0,$C17,0),$F17))))))</f>
        <v/>
      </c>
      <c r="V17" s="107" t="str">
        <f aca="false">IF($C17="","",IF(Dashboard!$C$4="Gemiddeld per maand",$F17,IF(OR($D17="Per maand",$D17="Per week",$D17=""),$F17,IF($D17="Per jaar",IF(12=$W17,$C17,0),IF($D17="Per half jaar",IF(MOD(12-$W17,6)=0,$C17,0),IF($D17="Per kwartaal",IF(MOD(12-$W17,3)=0,$C17,0),$F17))))))</f>
        <v/>
      </c>
      <c r="W17" s="15" t="n">
        <f aca="false">IF($E17="",1,IFERROR(MATCH($E17,Lijsten!$K$6:$K$17,0),1))</f>
        <v>1</v>
      </c>
    </row>
    <row r="18" customFormat="false" ht="15" hidden="false" customHeight="false" outlineLevel="0" collapsed="false">
      <c r="A18" s="102"/>
      <c r="B18" s="102"/>
      <c r="C18" s="92"/>
      <c r="D18" s="102"/>
      <c r="E18" s="103"/>
      <c r="F18" s="104" t="str">
        <f aca="false">IF($C18="","",IF($D18="Per jaar",$C18/12,IF($D18="Per kwartaal",$C18/3,IF($D18="Per half jaar",$C18/6,IF($D18="Per week",$C18*52/12,$C18)))))</f>
        <v/>
      </c>
      <c r="G18" s="102"/>
      <c r="H18" s="103"/>
      <c r="I18" s="105"/>
      <c r="J18" s="106" t="str">
        <f aca="false">IF($C18="","",IF(Dashboard!$C$4="Gemiddeld per maand",$F18,IF(OR($D18="Per maand",$D18="Per week",$D18=""),$F18,IF($D18="Per jaar",IF(Dashboard!$N$2=$W18,$C18,0),IF($D18="Per half jaar",IF(MOD(Dashboard!$N$2-$W18,6)=0,$C18,0),IF($D18="Per kwartaal",IF(MOD(Dashboard!$N$2-$W18,3)=0,$C18,0),$F18))))))</f>
        <v/>
      </c>
      <c r="K18" s="107" t="str">
        <f aca="false">IF($C18="","",IF(Dashboard!$C$4="Gemiddeld per maand",$F18,IF(OR($D18="Per maand",$D18="Per week",$D18=""),$F18,IF($D18="Per jaar",IF(1=$W18,$C18,0),IF($D18="Per half jaar",IF(MOD(1-$W18,6)=0,$C18,0),IF($D18="Per kwartaal",IF(MOD(1-$W18,3)=0,$C18,0),$F18))))))</f>
        <v/>
      </c>
      <c r="L18" s="107" t="str">
        <f aca="false">IF($C18="","",IF(Dashboard!$C$4="Gemiddeld per maand",$F18,IF(OR($D18="Per maand",$D18="Per week",$D18=""),$F18,IF($D18="Per jaar",IF(2=$W18,$C18,0),IF($D18="Per half jaar",IF(MOD(2-$W18,6)=0,$C18,0),IF($D18="Per kwartaal",IF(MOD(2-$W18,3)=0,$C18,0),$F18))))))</f>
        <v/>
      </c>
      <c r="M18" s="107" t="str">
        <f aca="false">IF($C18="","",IF(Dashboard!$C$4="Gemiddeld per maand",$F18,IF(OR($D18="Per maand",$D18="Per week",$D18=""),$F18,IF($D18="Per jaar",IF(3=$W18,$C18,0),IF($D18="Per half jaar",IF(MOD(3-$W18,6)=0,$C18,0),IF($D18="Per kwartaal",IF(MOD(3-$W18,3)=0,$C18,0),$F18))))))</f>
        <v/>
      </c>
      <c r="N18" s="107" t="str">
        <f aca="false">IF($C18="","",IF(Dashboard!$C$4="Gemiddeld per maand",$F18,IF(OR($D18="Per maand",$D18="Per week",$D18=""),$F18,IF($D18="Per jaar",IF(4=$W18,$C18,0),IF($D18="Per half jaar",IF(MOD(4-$W18,6)=0,$C18,0),IF($D18="Per kwartaal",IF(MOD(4-$W18,3)=0,$C18,0),$F18))))))</f>
        <v/>
      </c>
      <c r="O18" s="107" t="str">
        <f aca="false">IF($C18="","",IF(Dashboard!$C$4="Gemiddeld per maand",$F18,IF(OR($D18="Per maand",$D18="Per week",$D18=""),$F18,IF($D18="Per jaar",IF(5=$W18,$C18,0),IF($D18="Per half jaar",IF(MOD(5-$W18,6)=0,$C18,0),IF($D18="Per kwartaal",IF(MOD(5-$W18,3)=0,$C18,0),$F18))))))</f>
        <v/>
      </c>
      <c r="P18" s="107" t="str">
        <f aca="false">IF($C18="","",IF(Dashboard!$C$4="Gemiddeld per maand",$F18,IF(OR($D18="Per maand",$D18="Per week",$D18=""),$F18,IF($D18="Per jaar",IF(6=$W18,$C18,0),IF($D18="Per half jaar",IF(MOD(6-$W18,6)=0,$C18,0),IF($D18="Per kwartaal",IF(MOD(6-$W18,3)=0,$C18,0),$F18))))))</f>
        <v/>
      </c>
      <c r="Q18" s="107" t="str">
        <f aca="false">IF($C18="","",IF(Dashboard!$C$4="Gemiddeld per maand",$F18,IF(OR($D18="Per maand",$D18="Per week",$D18=""),$F18,IF($D18="Per jaar",IF(7=$W18,$C18,0),IF($D18="Per half jaar",IF(MOD(7-$W18,6)=0,$C18,0),IF($D18="Per kwartaal",IF(MOD(7-$W18,3)=0,$C18,0),$F18))))))</f>
        <v/>
      </c>
      <c r="R18" s="107" t="str">
        <f aca="false">IF($C18="","",IF(Dashboard!$C$4="Gemiddeld per maand",$F18,IF(OR($D18="Per maand",$D18="Per week",$D18=""),$F18,IF($D18="Per jaar",IF(8=$W18,$C18,0),IF($D18="Per half jaar",IF(MOD(8-$W18,6)=0,$C18,0),IF($D18="Per kwartaal",IF(MOD(8-$W18,3)=0,$C18,0),$F18))))))</f>
        <v/>
      </c>
      <c r="S18" s="107" t="str">
        <f aca="false">IF($C18="","",IF(Dashboard!$C$4="Gemiddeld per maand",$F18,IF(OR($D18="Per maand",$D18="Per week",$D18=""),$F18,IF($D18="Per jaar",IF(9=$W18,$C18,0),IF($D18="Per half jaar",IF(MOD(9-$W18,6)=0,$C18,0),IF($D18="Per kwartaal",IF(MOD(9-$W18,3)=0,$C18,0),$F18))))))</f>
        <v/>
      </c>
      <c r="T18" s="107" t="str">
        <f aca="false">IF($C18="","",IF(Dashboard!$C$4="Gemiddeld per maand",$F18,IF(OR($D18="Per maand",$D18="Per week",$D18=""),$F18,IF($D18="Per jaar",IF(10=$W18,$C18,0),IF($D18="Per half jaar",IF(MOD(10-$W18,6)=0,$C18,0),IF($D18="Per kwartaal",IF(MOD(10-$W18,3)=0,$C18,0),$F18))))))</f>
        <v/>
      </c>
      <c r="U18" s="107" t="str">
        <f aca="false">IF($C18="","",IF(Dashboard!$C$4="Gemiddeld per maand",$F18,IF(OR($D18="Per maand",$D18="Per week",$D18=""),$F18,IF($D18="Per jaar",IF(11=$W18,$C18,0),IF($D18="Per half jaar",IF(MOD(11-$W18,6)=0,$C18,0),IF($D18="Per kwartaal",IF(MOD(11-$W18,3)=0,$C18,0),$F18))))))</f>
        <v/>
      </c>
      <c r="V18" s="107" t="str">
        <f aca="false">IF($C18="","",IF(Dashboard!$C$4="Gemiddeld per maand",$F18,IF(OR($D18="Per maand",$D18="Per week",$D18=""),$F18,IF($D18="Per jaar",IF(12=$W18,$C18,0),IF($D18="Per half jaar",IF(MOD(12-$W18,6)=0,$C18,0),IF($D18="Per kwartaal",IF(MOD(12-$W18,3)=0,$C18,0),$F18))))))</f>
        <v/>
      </c>
      <c r="W18" s="15" t="n">
        <f aca="false">IF($E18="",1,IFERROR(MATCH($E18,Lijsten!$K$6:$K$17,0),1))</f>
        <v>1</v>
      </c>
    </row>
    <row r="19" customFormat="false" ht="15" hidden="false" customHeight="false" outlineLevel="0" collapsed="false">
      <c r="A19" s="102"/>
      <c r="B19" s="102"/>
      <c r="C19" s="92"/>
      <c r="D19" s="102"/>
      <c r="E19" s="103"/>
      <c r="F19" s="104" t="str">
        <f aca="false">IF($C19="","",IF($D19="Per jaar",$C19/12,IF($D19="Per kwartaal",$C19/3,IF($D19="Per half jaar",$C19/6,IF($D19="Per week",$C19*52/12,$C19)))))</f>
        <v/>
      </c>
      <c r="G19" s="102"/>
      <c r="H19" s="103"/>
      <c r="I19" s="105"/>
      <c r="J19" s="106" t="str">
        <f aca="false">IF($C19="","",IF(Dashboard!$C$4="Gemiddeld per maand",$F19,IF(OR($D19="Per maand",$D19="Per week",$D19=""),$F19,IF($D19="Per jaar",IF(Dashboard!$N$2=$W19,$C19,0),IF($D19="Per half jaar",IF(MOD(Dashboard!$N$2-$W19,6)=0,$C19,0),IF($D19="Per kwartaal",IF(MOD(Dashboard!$N$2-$W19,3)=0,$C19,0),$F19))))))</f>
        <v/>
      </c>
      <c r="K19" s="107" t="str">
        <f aca="false">IF($C19="","",IF(Dashboard!$C$4="Gemiddeld per maand",$F19,IF(OR($D19="Per maand",$D19="Per week",$D19=""),$F19,IF($D19="Per jaar",IF(1=$W19,$C19,0),IF($D19="Per half jaar",IF(MOD(1-$W19,6)=0,$C19,0),IF($D19="Per kwartaal",IF(MOD(1-$W19,3)=0,$C19,0),$F19))))))</f>
        <v/>
      </c>
      <c r="L19" s="107" t="str">
        <f aca="false">IF($C19="","",IF(Dashboard!$C$4="Gemiddeld per maand",$F19,IF(OR($D19="Per maand",$D19="Per week",$D19=""),$F19,IF($D19="Per jaar",IF(2=$W19,$C19,0),IF($D19="Per half jaar",IF(MOD(2-$W19,6)=0,$C19,0),IF($D19="Per kwartaal",IF(MOD(2-$W19,3)=0,$C19,0),$F19))))))</f>
        <v/>
      </c>
      <c r="M19" s="107" t="str">
        <f aca="false">IF($C19="","",IF(Dashboard!$C$4="Gemiddeld per maand",$F19,IF(OR($D19="Per maand",$D19="Per week",$D19=""),$F19,IF($D19="Per jaar",IF(3=$W19,$C19,0),IF($D19="Per half jaar",IF(MOD(3-$W19,6)=0,$C19,0),IF($D19="Per kwartaal",IF(MOD(3-$W19,3)=0,$C19,0),$F19))))))</f>
        <v/>
      </c>
      <c r="N19" s="107" t="str">
        <f aca="false">IF($C19="","",IF(Dashboard!$C$4="Gemiddeld per maand",$F19,IF(OR($D19="Per maand",$D19="Per week",$D19=""),$F19,IF($D19="Per jaar",IF(4=$W19,$C19,0),IF($D19="Per half jaar",IF(MOD(4-$W19,6)=0,$C19,0),IF($D19="Per kwartaal",IF(MOD(4-$W19,3)=0,$C19,0),$F19))))))</f>
        <v/>
      </c>
      <c r="O19" s="107" t="str">
        <f aca="false">IF($C19="","",IF(Dashboard!$C$4="Gemiddeld per maand",$F19,IF(OR($D19="Per maand",$D19="Per week",$D19=""),$F19,IF($D19="Per jaar",IF(5=$W19,$C19,0),IF($D19="Per half jaar",IF(MOD(5-$W19,6)=0,$C19,0),IF($D19="Per kwartaal",IF(MOD(5-$W19,3)=0,$C19,0),$F19))))))</f>
        <v/>
      </c>
      <c r="P19" s="107" t="str">
        <f aca="false">IF($C19="","",IF(Dashboard!$C$4="Gemiddeld per maand",$F19,IF(OR($D19="Per maand",$D19="Per week",$D19=""),$F19,IF($D19="Per jaar",IF(6=$W19,$C19,0),IF($D19="Per half jaar",IF(MOD(6-$W19,6)=0,$C19,0),IF($D19="Per kwartaal",IF(MOD(6-$W19,3)=0,$C19,0),$F19))))))</f>
        <v/>
      </c>
      <c r="Q19" s="107" t="str">
        <f aca="false">IF($C19="","",IF(Dashboard!$C$4="Gemiddeld per maand",$F19,IF(OR($D19="Per maand",$D19="Per week",$D19=""),$F19,IF($D19="Per jaar",IF(7=$W19,$C19,0),IF($D19="Per half jaar",IF(MOD(7-$W19,6)=0,$C19,0),IF($D19="Per kwartaal",IF(MOD(7-$W19,3)=0,$C19,0),$F19))))))</f>
        <v/>
      </c>
      <c r="R19" s="107" t="str">
        <f aca="false">IF($C19="","",IF(Dashboard!$C$4="Gemiddeld per maand",$F19,IF(OR($D19="Per maand",$D19="Per week",$D19=""),$F19,IF($D19="Per jaar",IF(8=$W19,$C19,0),IF($D19="Per half jaar",IF(MOD(8-$W19,6)=0,$C19,0),IF($D19="Per kwartaal",IF(MOD(8-$W19,3)=0,$C19,0),$F19))))))</f>
        <v/>
      </c>
      <c r="S19" s="107" t="str">
        <f aca="false">IF($C19="","",IF(Dashboard!$C$4="Gemiddeld per maand",$F19,IF(OR($D19="Per maand",$D19="Per week",$D19=""),$F19,IF($D19="Per jaar",IF(9=$W19,$C19,0),IF($D19="Per half jaar",IF(MOD(9-$W19,6)=0,$C19,0),IF($D19="Per kwartaal",IF(MOD(9-$W19,3)=0,$C19,0),$F19))))))</f>
        <v/>
      </c>
      <c r="T19" s="107" t="str">
        <f aca="false">IF($C19="","",IF(Dashboard!$C$4="Gemiddeld per maand",$F19,IF(OR($D19="Per maand",$D19="Per week",$D19=""),$F19,IF($D19="Per jaar",IF(10=$W19,$C19,0),IF($D19="Per half jaar",IF(MOD(10-$W19,6)=0,$C19,0),IF($D19="Per kwartaal",IF(MOD(10-$W19,3)=0,$C19,0),$F19))))))</f>
        <v/>
      </c>
      <c r="U19" s="107" t="str">
        <f aca="false">IF($C19="","",IF(Dashboard!$C$4="Gemiddeld per maand",$F19,IF(OR($D19="Per maand",$D19="Per week",$D19=""),$F19,IF($D19="Per jaar",IF(11=$W19,$C19,0),IF($D19="Per half jaar",IF(MOD(11-$W19,6)=0,$C19,0),IF($D19="Per kwartaal",IF(MOD(11-$W19,3)=0,$C19,0),$F19))))))</f>
        <v/>
      </c>
      <c r="V19" s="107" t="str">
        <f aca="false">IF($C19="","",IF(Dashboard!$C$4="Gemiddeld per maand",$F19,IF(OR($D19="Per maand",$D19="Per week",$D19=""),$F19,IF($D19="Per jaar",IF(12=$W19,$C19,0),IF($D19="Per half jaar",IF(MOD(12-$W19,6)=0,$C19,0),IF($D19="Per kwartaal",IF(MOD(12-$W19,3)=0,$C19,0),$F19))))))</f>
        <v/>
      </c>
      <c r="W19" s="15" t="n">
        <f aca="false">IF($E19="",1,IFERROR(MATCH($E19,Lijsten!$K$6:$K$17,0),1))</f>
        <v>1</v>
      </c>
    </row>
    <row r="20" customFormat="false" ht="15" hidden="false" customHeight="false" outlineLevel="0" collapsed="false">
      <c r="A20" s="102"/>
      <c r="B20" s="102"/>
      <c r="C20" s="92"/>
      <c r="D20" s="102"/>
      <c r="E20" s="103"/>
      <c r="F20" s="104" t="str">
        <f aca="false">IF($C20="","",IF($D20="Per jaar",$C20/12,IF($D20="Per kwartaal",$C20/3,IF($D20="Per half jaar",$C20/6,IF($D20="Per week",$C20*52/12,$C20)))))</f>
        <v/>
      </c>
      <c r="G20" s="102"/>
      <c r="H20" s="103"/>
      <c r="I20" s="105"/>
      <c r="J20" s="106" t="str">
        <f aca="false">IF($C20="","",IF(Dashboard!$C$4="Gemiddeld per maand",$F20,IF(OR($D20="Per maand",$D20="Per week",$D20=""),$F20,IF($D20="Per jaar",IF(Dashboard!$N$2=$W20,$C20,0),IF($D20="Per half jaar",IF(MOD(Dashboard!$N$2-$W20,6)=0,$C20,0),IF($D20="Per kwartaal",IF(MOD(Dashboard!$N$2-$W20,3)=0,$C20,0),$F20))))))</f>
        <v/>
      </c>
      <c r="K20" s="107" t="str">
        <f aca="false">IF($C20="","",IF(Dashboard!$C$4="Gemiddeld per maand",$F20,IF(OR($D20="Per maand",$D20="Per week",$D20=""),$F20,IF($D20="Per jaar",IF(1=$W20,$C20,0),IF($D20="Per half jaar",IF(MOD(1-$W20,6)=0,$C20,0),IF($D20="Per kwartaal",IF(MOD(1-$W20,3)=0,$C20,0),$F20))))))</f>
        <v/>
      </c>
      <c r="L20" s="107" t="str">
        <f aca="false">IF($C20="","",IF(Dashboard!$C$4="Gemiddeld per maand",$F20,IF(OR($D20="Per maand",$D20="Per week",$D20=""),$F20,IF($D20="Per jaar",IF(2=$W20,$C20,0),IF($D20="Per half jaar",IF(MOD(2-$W20,6)=0,$C20,0),IF($D20="Per kwartaal",IF(MOD(2-$W20,3)=0,$C20,0),$F20))))))</f>
        <v/>
      </c>
      <c r="M20" s="107" t="str">
        <f aca="false">IF($C20="","",IF(Dashboard!$C$4="Gemiddeld per maand",$F20,IF(OR($D20="Per maand",$D20="Per week",$D20=""),$F20,IF($D20="Per jaar",IF(3=$W20,$C20,0),IF($D20="Per half jaar",IF(MOD(3-$W20,6)=0,$C20,0),IF($D20="Per kwartaal",IF(MOD(3-$W20,3)=0,$C20,0),$F20))))))</f>
        <v/>
      </c>
      <c r="N20" s="107" t="str">
        <f aca="false">IF($C20="","",IF(Dashboard!$C$4="Gemiddeld per maand",$F20,IF(OR($D20="Per maand",$D20="Per week",$D20=""),$F20,IF($D20="Per jaar",IF(4=$W20,$C20,0),IF($D20="Per half jaar",IF(MOD(4-$W20,6)=0,$C20,0),IF($D20="Per kwartaal",IF(MOD(4-$W20,3)=0,$C20,0),$F20))))))</f>
        <v/>
      </c>
      <c r="O20" s="107" t="str">
        <f aca="false">IF($C20="","",IF(Dashboard!$C$4="Gemiddeld per maand",$F20,IF(OR($D20="Per maand",$D20="Per week",$D20=""),$F20,IF($D20="Per jaar",IF(5=$W20,$C20,0),IF($D20="Per half jaar",IF(MOD(5-$W20,6)=0,$C20,0),IF($D20="Per kwartaal",IF(MOD(5-$W20,3)=0,$C20,0),$F20))))))</f>
        <v/>
      </c>
      <c r="P20" s="107" t="str">
        <f aca="false">IF($C20="","",IF(Dashboard!$C$4="Gemiddeld per maand",$F20,IF(OR($D20="Per maand",$D20="Per week",$D20=""),$F20,IF($D20="Per jaar",IF(6=$W20,$C20,0),IF($D20="Per half jaar",IF(MOD(6-$W20,6)=0,$C20,0),IF($D20="Per kwartaal",IF(MOD(6-$W20,3)=0,$C20,0),$F20))))))</f>
        <v/>
      </c>
      <c r="Q20" s="107" t="str">
        <f aca="false">IF($C20="","",IF(Dashboard!$C$4="Gemiddeld per maand",$F20,IF(OR($D20="Per maand",$D20="Per week",$D20=""),$F20,IF($D20="Per jaar",IF(7=$W20,$C20,0),IF($D20="Per half jaar",IF(MOD(7-$W20,6)=0,$C20,0),IF($D20="Per kwartaal",IF(MOD(7-$W20,3)=0,$C20,0),$F20))))))</f>
        <v/>
      </c>
      <c r="R20" s="107" t="str">
        <f aca="false">IF($C20="","",IF(Dashboard!$C$4="Gemiddeld per maand",$F20,IF(OR($D20="Per maand",$D20="Per week",$D20=""),$F20,IF($D20="Per jaar",IF(8=$W20,$C20,0),IF($D20="Per half jaar",IF(MOD(8-$W20,6)=0,$C20,0),IF($D20="Per kwartaal",IF(MOD(8-$W20,3)=0,$C20,0),$F20))))))</f>
        <v/>
      </c>
      <c r="S20" s="107" t="str">
        <f aca="false">IF($C20="","",IF(Dashboard!$C$4="Gemiddeld per maand",$F20,IF(OR($D20="Per maand",$D20="Per week",$D20=""),$F20,IF($D20="Per jaar",IF(9=$W20,$C20,0),IF($D20="Per half jaar",IF(MOD(9-$W20,6)=0,$C20,0),IF($D20="Per kwartaal",IF(MOD(9-$W20,3)=0,$C20,0),$F20))))))</f>
        <v/>
      </c>
      <c r="T20" s="107" t="str">
        <f aca="false">IF($C20="","",IF(Dashboard!$C$4="Gemiddeld per maand",$F20,IF(OR($D20="Per maand",$D20="Per week",$D20=""),$F20,IF($D20="Per jaar",IF(10=$W20,$C20,0),IF($D20="Per half jaar",IF(MOD(10-$W20,6)=0,$C20,0),IF($D20="Per kwartaal",IF(MOD(10-$W20,3)=0,$C20,0),$F20))))))</f>
        <v/>
      </c>
      <c r="U20" s="107" t="str">
        <f aca="false">IF($C20="","",IF(Dashboard!$C$4="Gemiddeld per maand",$F20,IF(OR($D20="Per maand",$D20="Per week",$D20=""),$F20,IF($D20="Per jaar",IF(11=$W20,$C20,0),IF($D20="Per half jaar",IF(MOD(11-$W20,6)=0,$C20,0),IF($D20="Per kwartaal",IF(MOD(11-$W20,3)=0,$C20,0),$F20))))))</f>
        <v/>
      </c>
      <c r="V20" s="107" t="str">
        <f aca="false">IF($C20="","",IF(Dashboard!$C$4="Gemiddeld per maand",$F20,IF(OR($D20="Per maand",$D20="Per week",$D20=""),$F20,IF($D20="Per jaar",IF(12=$W20,$C20,0),IF($D20="Per half jaar",IF(MOD(12-$W20,6)=0,$C20,0),IF($D20="Per kwartaal",IF(MOD(12-$W20,3)=0,$C20,0),$F20))))))</f>
        <v/>
      </c>
      <c r="W20" s="15" t="n">
        <f aca="false">IF($E20="",1,IFERROR(MATCH($E20,Lijsten!$K$6:$K$17,0),1))</f>
        <v>1</v>
      </c>
    </row>
    <row r="21" customFormat="false" ht="15" hidden="false" customHeight="false" outlineLevel="0" collapsed="false">
      <c r="A21" s="102"/>
      <c r="B21" s="102"/>
      <c r="C21" s="92"/>
      <c r="D21" s="102"/>
      <c r="E21" s="103"/>
      <c r="F21" s="104" t="str">
        <f aca="false">IF($C21="","",IF($D21="Per jaar",$C21/12,IF($D21="Per kwartaal",$C21/3,IF($D21="Per half jaar",$C21/6,IF($D21="Per week",$C21*52/12,$C21)))))</f>
        <v/>
      </c>
      <c r="G21" s="102"/>
      <c r="H21" s="103"/>
      <c r="I21" s="105"/>
      <c r="J21" s="106" t="str">
        <f aca="false">IF($C21="","",IF(Dashboard!$C$4="Gemiddeld per maand",$F21,IF(OR($D21="Per maand",$D21="Per week",$D21=""),$F21,IF($D21="Per jaar",IF(Dashboard!$N$2=$W21,$C21,0),IF($D21="Per half jaar",IF(MOD(Dashboard!$N$2-$W21,6)=0,$C21,0),IF($D21="Per kwartaal",IF(MOD(Dashboard!$N$2-$W21,3)=0,$C21,0),$F21))))))</f>
        <v/>
      </c>
      <c r="K21" s="107" t="str">
        <f aca="false">IF($C21="","",IF(Dashboard!$C$4="Gemiddeld per maand",$F21,IF(OR($D21="Per maand",$D21="Per week",$D21=""),$F21,IF($D21="Per jaar",IF(1=$W21,$C21,0),IF($D21="Per half jaar",IF(MOD(1-$W21,6)=0,$C21,0),IF($D21="Per kwartaal",IF(MOD(1-$W21,3)=0,$C21,0),$F21))))))</f>
        <v/>
      </c>
      <c r="L21" s="107" t="str">
        <f aca="false">IF($C21="","",IF(Dashboard!$C$4="Gemiddeld per maand",$F21,IF(OR($D21="Per maand",$D21="Per week",$D21=""),$F21,IF($D21="Per jaar",IF(2=$W21,$C21,0),IF($D21="Per half jaar",IF(MOD(2-$W21,6)=0,$C21,0),IF($D21="Per kwartaal",IF(MOD(2-$W21,3)=0,$C21,0),$F21))))))</f>
        <v/>
      </c>
      <c r="M21" s="107" t="str">
        <f aca="false">IF($C21="","",IF(Dashboard!$C$4="Gemiddeld per maand",$F21,IF(OR($D21="Per maand",$D21="Per week",$D21=""),$F21,IF($D21="Per jaar",IF(3=$W21,$C21,0),IF($D21="Per half jaar",IF(MOD(3-$W21,6)=0,$C21,0),IF($D21="Per kwartaal",IF(MOD(3-$W21,3)=0,$C21,0),$F21))))))</f>
        <v/>
      </c>
      <c r="N21" s="107" t="str">
        <f aca="false">IF($C21="","",IF(Dashboard!$C$4="Gemiddeld per maand",$F21,IF(OR($D21="Per maand",$D21="Per week",$D21=""),$F21,IF($D21="Per jaar",IF(4=$W21,$C21,0),IF($D21="Per half jaar",IF(MOD(4-$W21,6)=0,$C21,0),IF($D21="Per kwartaal",IF(MOD(4-$W21,3)=0,$C21,0),$F21))))))</f>
        <v/>
      </c>
      <c r="O21" s="107" t="str">
        <f aca="false">IF($C21="","",IF(Dashboard!$C$4="Gemiddeld per maand",$F21,IF(OR($D21="Per maand",$D21="Per week",$D21=""),$F21,IF($D21="Per jaar",IF(5=$W21,$C21,0),IF($D21="Per half jaar",IF(MOD(5-$W21,6)=0,$C21,0),IF($D21="Per kwartaal",IF(MOD(5-$W21,3)=0,$C21,0),$F21))))))</f>
        <v/>
      </c>
      <c r="P21" s="107" t="str">
        <f aca="false">IF($C21="","",IF(Dashboard!$C$4="Gemiddeld per maand",$F21,IF(OR($D21="Per maand",$D21="Per week",$D21=""),$F21,IF($D21="Per jaar",IF(6=$W21,$C21,0),IF($D21="Per half jaar",IF(MOD(6-$W21,6)=0,$C21,0),IF($D21="Per kwartaal",IF(MOD(6-$W21,3)=0,$C21,0),$F21))))))</f>
        <v/>
      </c>
      <c r="Q21" s="107" t="str">
        <f aca="false">IF($C21="","",IF(Dashboard!$C$4="Gemiddeld per maand",$F21,IF(OR($D21="Per maand",$D21="Per week",$D21=""),$F21,IF($D21="Per jaar",IF(7=$W21,$C21,0),IF($D21="Per half jaar",IF(MOD(7-$W21,6)=0,$C21,0),IF($D21="Per kwartaal",IF(MOD(7-$W21,3)=0,$C21,0),$F21))))))</f>
        <v/>
      </c>
      <c r="R21" s="107" t="str">
        <f aca="false">IF($C21="","",IF(Dashboard!$C$4="Gemiddeld per maand",$F21,IF(OR($D21="Per maand",$D21="Per week",$D21=""),$F21,IF($D21="Per jaar",IF(8=$W21,$C21,0),IF($D21="Per half jaar",IF(MOD(8-$W21,6)=0,$C21,0),IF($D21="Per kwartaal",IF(MOD(8-$W21,3)=0,$C21,0),$F21))))))</f>
        <v/>
      </c>
      <c r="S21" s="107" t="str">
        <f aca="false">IF($C21="","",IF(Dashboard!$C$4="Gemiddeld per maand",$F21,IF(OR($D21="Per maand",$D21="Per week",$D21=""),$F21,IF($D21="Per jaar",IF(9=$W21,$C21,0),IF($D21="Per half jaar",IF(MOD(9-$W21,6)=0,$C21,0),IF($D21="Per kwartaal",IF(MOD(9-$W21,3)=0,$C21,0),$F21))))))</f>
        <v/>
      </c>
      <c r="T21" s="107" t="str">
        <f aca="false">IF($C21="","",IF(Dashboard!$C$4="Gemiddeld per maand",$F21,IF(OR($D21="Per maand",$D21="Per week",$D21=""),$F21,IF($D21="Per jaar",IF(10=$W21,$C21,0),IF($D21="Per half jaar",IF(MOD(10-$W21,6)=0,$C21,0),IF($D21="Per kwartaal",IF(MOD(10-$W21,3)=0,$C21,0),$F21))))))</f>
        <v/>
      </c>
      <c r="U21" s="107" t="str">
        <f aca="false">IF($C21="","",IF(Dashboard!$C$4="Gemiddeld per maand",$F21,IF(OR($D21="Per maand",$D21="Per week",$D21=""),$F21,IF($D21="Per jaar",IF(11=$W21,$C21,0),IF($D21="Per half jaar",IF(MOD(11-$W21,6)=0,$C21,0),IF($D21="Per kwartaal",IF(MOD(11-$W21,3)=0,$C21,0),$F21))))))</f>
        <v/>
      </c>
      <c r="V21" s="107" t="str">
        <f aca="false">IF($C21="","",IF(Dashboard!$C$4="Gemiddeld per maand",$F21,IF(OR($D21="Per maand",$D21="Per week",$D21=""),$F21,IF($D21="Per jaar",IF(12=$W21,$C21,0),IF($D21="Per half jaar",IF(MOD(12-$W21,6)=0,$C21,0),IF($D21="Per kwartaal",IF(MOD(12-$W21,3)=0,$C21,0),$F21))))))</f>
        <v/>
      </c>
      <c r="W21" s="15" t="n">
        <f aca="false">IF($E21="",1,IFERROR(MATCH($E21,Lijsten!$K$6:$K$17,0),1))</f>
        <v>1</v>
      </c>
    </row>
    <row r="22" customFormat="false" ht="15" hidden="false" customHeight="false" outlineLevel="0" collapsed="false">
      <c r="A22" s="102"/>
      <c r="B22" s="102"/>
      <c r="C22" s="92"/>
      <c r="D22" s="102"/>
      <c r="E22" s="103"/>
      <c r="F22" s="104" t="str">
        <f aca="false">IF($C22="","",IF($D22="Per jaar",$C22/12,IF($D22="Per kwartaal",$C22/3,IF($D22="Per half jaar",$C22/6,IF($D22="Per week",$C22*52/12,$C22)))))</f>
        <v/>
      </c>
      <c r="G22" s="102"/>
      <c r="H22" s="103"/>
      <c r="I22" s="105"/>
      <c r="J22" s="106" t="str">
        <f aca="false">IF($C22="","",IF(Dashboard!$C$4="Gemiddeld per maand",$F22,IF(OR($D22="Per maand",$D22="Per week",$D22=""),$F22,IF($D22="Per jaar",IF(Dashboard!$N$2=$W22,$C22,0),IF($D22="Per half jaar",IF(MOD(Dashboard!$N$2-$W22,6)=0,$C22,0),IF($D22="Per kwartaal",IF(MOD(Dashboard!$N$2-$W22,3)=0,$C22,0),$F22))))))</f>
        <v/>
      </c>
      <c r="K22" s="107" t="str">
        <f aca="false">IF($C22="","",IF(Dashboard!$C$4="Gemiddeld per maand",$F22,IF(OR($D22="Per maand",$D22="Per week",$D22=""),$F22,IF($D22="Per jaar",IF(1=$W22,$C22,0),IF($D22="Per half jaar",IF(MOD(1-$W22,6)=0,$C22,0),IF($D22="Per kwartaal",IF(MOD(1-$W22,3)=0,$C22,0),$F22))))))</f>
        <v/>
      </c>
      <c r="L22" s="107" t="str">
        <f aca="false">IF($C22="","",IF(Dashboard!$C$4="Gemiddeld per maand",$F22,IF(OR($D22="Per maand",$D22="Per week",$D22=""),$F22,IF($D22="Per jaar",IF(2=$W22,$C22,0),IF($D22="Per half jaar",IF(MOD(2-$W22,6)=0,$C22,0),IF($D22="Per kwartaal",IF(MOD(2-$W22,3)=0,$C22,0),$F22))))))</f>
        <v/>
      </c>
      <c r="M22" s="107" t="str">
        <f aca="false">IF($C22="","",IF(Dashboard!$C$4="Gemiddeld per maand",$F22,IF(OR($D22="Per maand",$D22="Per week",$D22=""),$F22,IF($D22="Per jaar",IF(3=$W22,$C22,0),IF($D22="Per half jaar",IF(MOD(3-$W22,6)=0,$C22,0),IF($D22="Per kwartaal",IF(MOD(3-$W22,3)=0,$C22,0),$F22))))))</f>
        <v/>
      </c>
      <c r="N22" s="107" t="str">
        <f aca="false">IF($C22="","",IF(Dashboard!$C$4="Gemiddeld per maand",$F22,IF(OR($D22="Per maand",$D22="Per week",$D22=""),$F22,IF($D22="Per jaar",IF(4=$W22,$C22,0),IF($D22="Per half jaar",IF(MOD(4-$W22,6)=0,$C22,0),IF($D22="Per kwartaal",IF(MOD(4-$W22,3)=0,$C22,0),$F22))))))</f>
        <v/>
      </c>
      <c r="O22" s="107" t="str">
        <f aca="false">IF($C22="","",IF(Dashboard!$C$4="Gemiddeld per maand",$F22,IF(OR($D22="Per maand",$D22="Per week",$D22=""),$F22,IF($D22="Per jaar",IF(5=$W22,$C22,0),IF($D22="Per half jaar",IF(MOD(5-$W22,6)=0,$C22,0),IF($D22="Per kwartaal",IF(MOD(5-$W22,3)=0,$C22,0),$F22))))))</f>
        <v/>
      </c>
      <c r="P22" s="107" t="str">
        <f aca="false">IF($C22="","",IF(Dashboard!$C$4="Gemiddeld per maand",$F22,IF(OR($D22="Per maand",$D22="Per week",$D22=""),$F22,IF($D22="Per jaar",IF(6=$W22,$C22,0),IF($D22="Per half jaar",IF(MOD(6-$W22,6)=0,$C22,0),IF($D22="Per kwartaal",IF(MOD(6-$W22,3)=0,$C22,0),$F22))))))</f>
        <v/>
      </c>
      <c r="Q22" s="107" t="str">
        <f aca="false">IF($C22="","",IF(Dashboard!$C$4="Gemiddeld per maand",$F22,IF(OR($D22="Per maand",$D22="Per week",$D22=""),$F22,IF($D22="Per jaar",IF(7=$W22,$C22,0),IF($D22="Per half jaar",IF(MOD(7-$W22,6)=0,$C22,0),IF($D22="Per kwartaal",IF(MOD(7-$W22,3)=0,$C22,0),$F22))))))</f>
        <v/>
      </c>
      <c r="R22" s="107" t="str">
        <f aca="false">IF($C22="","",IF(Dashboard!$C$4="Gemiddeld per maand",$F22,IF(OR($D22="Per maand",$D22="Per week",$D22=""),$F22,IF($D22="Per jaar",IF(8=$W22,$C22,0),IF($D22="Per half jaar",IF(MOD(8-$W22,6)=0,$C22,0),IF($D22="Per kwartaal",IF(MOD(8-$W22,3)=0,$C22,0),$F22))))))</f>
        <v/>
      </c>
      <c r="S22" s="107" t="str">
        <f aca="false">IF($C22="","",IF(Dashboard!$C$4="Gemiddeld per maand",$F22,IF(OR($D22="Per maand",$D22="Per week",$D22=""),$F22,IF($D22="Per jaar",IF(9=$W22,$C22,0),IF($D22="Per half jaar",IF(MOD(9-$W22,6)=0,$C22,0),IF($D22="Per kwartaal",IF(MOD(9-$W22,3)=0,$C22,0),$F22))))))</f>
        <v/>
      </c>
      <c r="T22" s="107" t="str">
        <f aca="false">IF($C22="","",IF(Dashboard!$C$4="Gemiddeld per maand",$F22,IF(OR($D22="Per maand",$D22="Per week",$D22=""),$F22,IF($D22="Per jaar",IF(10=$W22,$C22,0),IF($D22="Per half jaar",IF(MOD(10-$W22,6)=0,$C22,0),IF($D22="Per kwartaal",IF(MOD(10-$W22,3)=0,$C22,0),$F22))))))</f>
        <v/>
      </c>
      <c r="U22" s="107" t="str">
        <f aca="false">IF($C22="","",IF(Dashboard!$C$4="Gemiddeld per maand",$F22,IF(OR($D22="Per maand",$D22="Per week",$D22=""),$F22,IF($D22="Per jaar",IF(11=$W22,$C22,0),IF($D22="Per half jaar",IF(MOD(11-$W22,6)=0,$C22,0),IF($D22="Per kwartaal",IF(MOD(11-$W22,3)=0,$C22,0),$F22))))))</f>
        <v/>
      </c>
      <c r="V22" s="107" t="str">
        <f aca="false">IF($C22="","",IF(Dashboard!$C$4="Gemiddeld per maand",$F22,IF(OR($D22="Per maand",$D22="Per week",$D22=""),$F22,IF($D22="Per jaar",IF(12=$W22,$C22,0),IF($D22="Per half jaar",IF(MOD(12-$W22,6)=0,$C22,0),IF($D22="Per kwartaal",IF(MOD(12-$W22,3)=0,$C22,0),$F22))))))</f>
        <v/>
      </c>
      <c r="W22" s="15" t="n">
        <f aca="false">IF($E22="",1,IFERROR(MATCH($E22,Lijsten!$K$6:$K$17,0),1))</f>
        <v>1</v>
      </c>
    </row>
    <row r="23" customFormat="false" ht="15" hidden="false" customHeight="false" outlineLevel="0" collapsed="false">
      <c r="A23" s="102"/>
      <c r="B23" s="102"/>
      <c r="C23" s="92"/>
      <c r="D23" s="102"/>
      <c r="E23" s="103"/>
      <c r="F23" s="104" t="str">
        <f aca="false">IF($C23="","",IF($D23="Per jaar",$C23/12,IF($D23="Per kwartaal",$C23/3,IF($D23="Per half jaar",$C23/6,IF($D23="Per week",$C23*52/12,$C23)))))</f>
        <v/>
      </c>
      <c r="G23" s="102"/>
      <c r="H23" s="103"/>
      <c r="I23" s="105"/>
      <c r="J23" s="106" t="str">
        <f aca="false">IF($C23="","",IF(Dashboard!$C$4="Gemiddeld per maand",$F23,IF(OR($D23="Per maand",$D23="Per week",$D23=""),$F23,IF($D23="Per jaar",IF(Dashboard!$N$2=$W23,$C23,0),IF($D23="Per half jaar",IF(MOD(Dashboard!$N$2-$W23,6)=0,$C23,0),IF($D23="Per kwartaal",IF(MOD(Dashboard!$N$2-$W23,3)=0,$C23,0),$F23))))))</f>
        <v/>
      </c>
      <c r="K23" s="107" t="str">
        <f aca="false">IF($C23="","",IF(Dashboard!$C$4="Gemiddeld per maand",$F23,IF(OR($D23="Per maand",$D23="Per week",$D23=""),$F23,IF($D23="Per jaar",IF(1=$W23,$C23,0),IF($D23="Per half jaar",IF(MOD(1-$W23,6)=0,$C23,0),IF($D23="Per kwartaal",IF(MOD(1-$W23,3)=0,$C23,0),$F23))))))</f>
        <v/>
      </c>
      <c r="L23" s="107" t="str">
        <f aca="false">IF($C23="","",IF(Dashboard!$C$4="Gemiddeld per maand",$F23,IF(OR($D23="Per maand",$D23="Per week",$D23=""),$F23,IF($D23="Per jaar",IF(2=$W23,$C23,0),IF($D23="Per half jaar",IF(MOD(2-$W23,6)=0,$C23,0),IF($D23="Per kwartaal",IF(MOD(2-$W23,3)=0,$C23,0),$F23))))))</f>
        <v/>
      </c>
      <c r="M23" s="107" t="str">
        <f aca="false">IF($C23="","",IF(Dashboard!$C$4="Gemiddeld per maand",$F23,IF(OR($D23="Per maand",$D23="Per week",$D23=""),$F23,IF($D23="Per jaar",IF(3=$W23,$C23,0),IF($D23="Per half jaar",IF(MOD(3-$W23,6)=0,$C23,0),IF($D23="Per kwartaal",IF(MOD(3-$W23,3)=0,$C23,0),$F23))))))</f>
        <v/>
      </c>
      <c r="N23" s="107" t="str">
        <f aca="false">IF($C23="","",IF(Dashboard!$C$4="Gemiddeld per maand",$F23,IF(OR($D23="Per maand",$D23="Per week",$D23=""),$F23,IF($D23="Per jaar",IF(4=$W23,$C23,0),IF($D23="Per half jaar",IF(MOD(4-$W23,6)=0,$C23,0),IF($D23="Per kwartaal",IF(MOD(4-$W23,3)=0,$C23,0),$F23))))))</f>
        <v/>
      </c>
      <c r="O23" s="107" t="str">
        <f aca="false">IF($C23="","",IF(Dashboard!$C$4="Gemiddeld per maand",$F23,IF(OR($D23="Per maand",$D23="Per week",$D23=""),$F23,IF($D23="Per jaar",IF(5=$W23,$C23,0),IF($D23="Per half jaar",IF(MOD(5-$W23,6)=0,$C23,0),IF($D23="Per kwartaal",IF(MOD(5-$W23,3)=0,$C23,0),$F23))))))</f>
        <v/>
      </c>
      <c r="P23" s="107" t="str">
        <f aca="false">IF($C23="","",IF(Dashboard!$C$4="Gemiddeld per maand",$F23,IF(OR($D23="Per maand",$D23="Per week",$D23=""),$F23,IF($D23="Per jaar",IF(6=$W23,$C23,0),IF($D23="Per half jaar",IF(MOD(6-$W23,6)=0,$C23,0),IF($D23="Per kwartaal",IF(MOD(6-$W23,3)=0,$C23,0),$F23))))))</f>
        <v/>
      </c>
      <c r="Q23" s="107" t="str">
        <f aca="false">IF($C23="","",IF(Dashboard!$C$4="Gemiddeld per maand",$F23,IF(OR($D23="Per maand",$D23="Per week",$D23=""),$F23,IF($D23="Per jaar",IF(7=$W23,$C23,0),IF($D23="Per half jaar",IF(MOD(7-$W23,6)=0,$C23,0),IF($D23="Per kwartaal",IF(MOD(7-$W23,3)=0,$C23,0),$F23))))))</f>
        <v/>
      </c>
      <c r="R23" s="107" t="str">
        <f aca="false">IF($C23="","",IF(Dashboard!$C$4="Gemiddeld per maand",$F23,IF(OR($D23="Per maand",$D23="Per week",$D23=""),$F23,IF($D23="Per jaar",IF(8=$W23,$C23,0),IF($D23="Per half jaar",IF(MOD(8-$W23,6)=0,$C23,0),IF($D23="Per kwartaal",IF(MOD(8-$W23,3)=0,$C23,0),$F23))))))</f>
        <v/>
      </c>
      <c r="S23" s="107" t="str">
        <f aca="false">IF($C23="","",IF(Dashboard!$C$4="Gemiddeld per maand",$F23,IF(OR($D23="Per maand",$D23="Per week",$D23=""),$F23,IF($D23="Per jaar",IF(9=$W23,$C23,0),IF($D23="Per half jaar",IF(MOD(9-$W23,6)=0,$C23,0),IF($D23="Per kwartaal",IF(MOD(9-$W23,3)=0,$C23,0),$F23))))))</f>
        <v/>
      </c>
      <c r="T23" s="107" t="str">
        <f aca="false">IF($C23="","",IF(Dashboard!$C$4="Gemiddeld per maand",$F23,IF(OR($D23="Per maand",$D23="Per week",$D23=""),$F23,IF($D23="Per jaar",IF(10=$W23,$C23,0),IF($D23="Per half jaar",IF(MOD(10-$W23,6)=0,$C23,0),IF($D23="Per kwartaal",IF(MOD(10-$W23,3)=0,$C23,0),$F23))))))</f>
        <v/>
      </c>
      <c r="U23" s="107" t="str">
        <f aca="false">IF($C23="","",IF(Dashboard!$C$4="Gemiddeld per maand",$F23,IF(OR($D23="Per maand",$D23="Per week",$D23=""),$F23,IF($D23="Per jaar",IF(11=$W23,$C23,0),IF($D23="Per half jaar",IF(MOD(11-$W23,6)=0,$C23,0),IF($D23="Per kwartaal",IF(MOD(11-$W23,3)=0,$C23,0),$F23))))))</f>
        <v/>
      </c>
      <c r="V23" s="107" t="str">
        <f aca="false">IF($C23="","",IF(Dashboard!$C$4="Gemiddeld per maand",$F23,IF(OR($D23="Per maand",$D23="Per week",$D23=""),$F23,IF($D23="Per jaar",IF(12=$W23,$C23,0),IF($D23="Per half jaar",IF(MOD(12-$W23,6)=0,$C23,0),IF($D23="Per kwartaal",IF(MOD(12-$W23,3)=0,$C23,0),$F23))))))</f>
        <v/>
      </c>
      <c r="W23" s="15" t="n">
        <f aca="false">IF($E23="",1,IFERROR(MATCH($E23,Lijsten!$K$6:$K$17,0),1))</f>
        <v>1</v>
      </c>
    </row>
    <row r="24" customFormat="false" ht="15" hidden="false" customHeight="false" outlineLevel="0" collapsed="false">
      <c r="A24" s="102"/>
      <c r="B24" s="102"/>
      <c r="C24" s="92"/>
      <c r="D24" s="102"/>
      <c r="E24" s="103"/>
      <c r="F24" s="104" t="str">
        <f aca="false">IF($C24="","",IF($D24="Per jaar",$C24/12,IF($D24="Per kwartaal",$C24/3,IF($D24="Per half jaar",$C24/6,IF($D24="Per week",$C24*52/12,$C24)))))</f>
        <v/>
      </c>
      <c r="G24" s="102"/>
      <c r="H24" s="103"/>
      <c r="I24" s="105"/>
      <c r="J24" s="106" t="str">
        <f aca="false">IF($C24="","",IF(Dashboard!$C$4="Gemiddeld per maand",$F24,IF(OR($D24="Per maand",$D24="Per week",$D24=""),$F24,IF($D24="Per jaar",IF(Dashboard!$N$2=$W24,$C24,0),IF($D24="Per half jaar",IF(MOD(Dashboard!$N$2-$W24,6)=0,$C24,0),IF($D24="Per kwartaal",IF(MOD(Dashboard!$N$2-$W24,3)=0,$C24,0),$F24))))))</f>
        <v/>
      </c>
      <c r="K24" s="107" t="str">
        <f aca="false">IF($C24="","",IF(Dashboard!$C$4="Gemiddeld per maand",$F24,IF(OR($D24="Per maand",$D24="Per week",$D24=""),$F24,IF($D24="Per jaar",IF(1=$W24,$C24,0),IF($D24="Per half jaar",IF(MOD(1-$W24,6)=0,$C24,0),IF($D24="Per kwartaal",IF(MOD(1-$W24,3)=0,$C24,0),$F24))))))</f>
        <v/>
      </c>
      <c r="L24" s="107" t="str">
        <f aca="false">IF($C24="","",IF(Dashboard!$C$4="Gemiddeld per maand",$F24,IF(OR($D24="Per maand",$D24="Per week",$D24=""),$F24,IF($D24="Per jaar",IF(2=$W24,$C24,0),IF($D24="Per half jaar",IF(MOD(2-$W24,6)=0,$C24,0),IF($D24="Per kwartaal",IF(MOD(2-$W24,3)=0,$C24,0),$F24))))))</f>
        <v/>
      </c>
      <c r="M24" s="107" t="str">
        <f aca="false">IF($C24="","",IF(Dashboard!$C$4="Gemiddeld per maand",$F24,IF(OR($D24="Per maand",$D24="Per week",$D24=""),$F24,IF($D24="Per jaar",IF(3=$W24,$C24,0),IF($D24="Per half jaar",IF(MOD(3-$W24,6)=0,$C24,0),IF($D24="Per kwartaal",IF(MOD(3-$W24,3)=0,$C24,0),$F24))))))</f>
        <v/>
      </c>
      <c r="N24" s="107" t="str">
        <f aca="false">IF($C24="","",IF(Dashboard!$C$4="Gemiddeld per maand",$F24,IF(OR($D24="Per maand",$D24="Per week",$D24=""),$F24,IF($D24="Per jaar",IF(4=$W24,$C24,0),IF($D24="Per half jaar",IF(MOD(4-$W24,6)=0,$C24,0),IF($D24="Per kwartaal",IF(MOD(4-$W24,3)=0,$C24,0),$F24))))))</f>
        <v/>
      </c>
      <c r="O24" s="107" t="str">
        <f aca="false">IF($C24="","",IF(Dashboard!$C$4="Gemiddeld per maand",$F24,IF(OR($D24="Per maand",$D24="Per week",$D24=""),$F24,IF($D24="Per jaar",IF(5=$W24,$C24,0),IF($D24="Per half jaar",IF(MOD(5-$W24,6)=0,$C24,0),IF($D24="Per kwartaal",IF(MOD(5-$W24,3)=0,$C24,0),$F24))))))</f>
        <v/>
      </c>
      <c r="P24" s="107" t="str">
        <f aca="false">IF($C24="","",IF(Dashboard!$C$4="Gemiddeld per maand",$F24,IF(OR($D24="Per maand",$D24="Per week",$D24=""),$F24,IF($D24="Per jaar",IF(6=$W24,$C24,0),IF($D24="Per half jaar",IF(MOD(6-$W24,6)=0,$C24,0),IF($D24="Per kwartaal",IF(MOD(6-$W24,3)=0,$C24,0),$F24))))))</f>
        <v/>
      </c>
      <c r="Q24" s="107" t="str">
        <f aca="false">IF($C24="","",IF(Dashboard!$C$4="Gemiddeld per maand",$F24,IF(OR($D24="Per maand",$D24="Per week",$D24=""),$F24,IF($D24="Per jaar",IF(7=$W24,$C24,0),IF($D24="Per half jaar",IF(MOD(7-$W24,6)=0,$C24,0),IF($D24="Per kwartaal",IF(MOD(7-$W24,3)=0,$C24,0),$F24))))))</f>
        <v/>
      </c>
      <c r="R24" s="107" t="str">
        <f aca="false">IF($C24="","",IF(Dashboard!$C$4="Gemiddeld per maand",$F24,IF(OR($D24="Per maand",$D24="Per week",$D24=""),$F24,IF($D24="Per jaar",IF(8=$W24,$C24,0),IF($D24="Per half jaar",IF(MOD(8-$W24,6)=0,$C24,0),IF($D24="Per kwartaal",IF(MOD(8-$W24,3)=0,$C24,0),$F24))))))</f>
        <v/>
      </c>
      <c r="S24" s="107" t="str">
        <f aca="false">IF($C24="","",IF(Dashboard!$C$4="Gemiddeld per maand",$F24,IF(OR($D24="Per maand",$D24="Per week",$D24=""),$F24,IF($D24="Per jaar",IF(9=$W24,$C24,0),IF($D24="Per half jaar",IF(MOD(9-$W24,6)=0,$C24,0),IF($D24="Per kwartaal",IF(MOD(9-$W24,3)=0,$C24,0),$F24))))))</f>
        <v/>
      </c>
      <c r="T24" s="107" t="str">
        <f aca="false">IF($C24="","",IF(Dashboard!$C$4="Gemiddeld per maand",$F24,IF(OR($D24="Per maand",$D24="Per week",$D24=""),$F24,IF($D24="Per jaar",IF(10=$W24,$C24,0),IF($D24="Per half jaar",IF(MOD(10-$W24,6)=0,$C24,0),IF($D24="Per kwartaal",IF(MOD(10-$W24,3)=0,$C24,0),$F24))))))</f>
        <v/>
      </c>
      <c r="U24" s="107" t="str">
        <f aca="false">IF($C24="","",IF(Dashboard!$C$4="Gemiddeld per maand",$F24,IF(OR($D24="Per maand",$D24="Per week",$D24=""),$F24,IF($D24="Per jaar",IF(11=$W24,$C24,0),IF($D24="Per half jaar",IF(MOD(11-$W24,6)=0,$C24,0),IF($D24="Per kwartaal",IF(MOD(11-$W24,3)=0,$C24,0),$F24))))))</f>
        <v/>
      </c>
      <c r="V24" s="107" t="str">
        <f aca="false">IF($C24="","",IF(Dashboard!$C$4="Gemiddeld per maand",$F24,IF(OR($D24="Per maand",$D24="Per week",$D24=""),$F24,IF($D24="Per jaar",IF(12=$W24,$C24,0),IF($D24="Per half jaar",IF(MOD(12-$W24,6)=0,$C24,0),IF($D24="Per kwartaal",IF(MOD(12-$W24,3)=0,$C24,0),$F24))))))</f>
        <v/>
      </c>
      <c r="W24" s="15" t="n">
        <f aca="false">IF($E24="",1,IFERROR(MATCH($E24,Lijsten!$K$6:$K$17,0),1))</f>
        <v>1</v>
      </c>
    </row>
    <row r="25" customFormat="false" ht="15" hidden="false" customHeight="false" outlineLevel="0" collapsed="false">
      <c r="A25" s="102"/>
      <c r="B25" s="102"/>
      <c r="C25" s="92"/>
      <c r="D25" s="102"/>
      <c r="E25" s="103"/>
      <c r="F25" s="104" t="str">
        <f aca="false">IF($C25="","",IF($D25="Per jaar",$C25/12,IF($D25="Per kwartaal",$C25/3,IF($D25="Per half jaar",$C25/6,IF($D25="Per week",$C25*52/12,$C25)))))</f>
        <v/>
      </c>
      <c r="G25" s="102"/>
      <c r="H25" s="103"/>
      <c r="I25" s="105"/>
      <c r="J25" s="106" t="str">
        <f aca="false">IF($C25="","",IF(Dashboard!$C$4="Gemiddeld per maand",$F25,IF(OR($D25="Per maand",$D25="Per week",$D25=""),$F25,IF($D25="Per jaar",IF(Dashboard!$N$2=$W25,$C25,0),IF($D25="Per half jaar",IF(MOD(Dashboard!$N$2-$W25,6)=0,$C25,0),IF($D25="Per kwartaal",IF(MOD(Dashboard!$N$2-$W25,3)=0,$C25,0),$F25))))))</f>
        <v/>
      </c>
      <c r="K25" s="107" t="str">
        <f aca="false">IF($C25="","",IF(Dashboard!$C$4="Gemiddeld per maand",$F25,IF(OR($D25="Per maand",$D25="Per week",$D25=""),$F25,IF($D25="Per jaar",IF(1=$W25,$C25,0),IF($D25="Per half jaar",IF(MOD(1-$W25,6)=0,$C25,0),IF($D25="Per kwartaal",IF(MOD(1-$W25,3)=0,$C25,0),$F25))))))</f>
        <v/>
      </c>
      <c r="L25" s="107" t="str">
        <f aca="false">IF($C25="","",IF(Dashboard!$C$4="Gemiddeld per maand",$F25,IF(OR($D25="Per maand",$D25="Per week",$D25=""),$F25,IF($D25="Per jaar",IF(2=$W25,$C25,0),IF($D25="Per half jaar",IF(MOD(2-$W25,6)=0,$C25,0),IF($D25="Per kwartaal",IF(MOD(2-$W25,3)=0,$C25,0),$F25))))))</f>
        <v/>
      </c>
      <c r="M25" s="107" t="str">
        <f aca="false">IF($C25="","",IF(Dashboard!$C$4="Gemiddeld per maand",$F25,IF(OR($D25="Per maand",$D25="Per week",$D25=""),$F25,IF($D25="Per jaar",IF(3=$W25,$C25,0),IF($D25="Per half jaar",IF(MOD(3-$W25,6)=0,$C25,0),IF($D25="Per kwartaal",IF(MOD(3-$W25,3)=0,$C25,0),$F25))))))</f>
        <v/>
      </c>
      <c r="N25" s="107" t="str">
        <f aca="false">IF($C25="","",IF(Dashboard!$C$4="Gemiddeld per maand",$F25,IF(OR($D25="Per maand",$D25="Per week",$D25=""),$F25,IF($D25="Per jaar",IF(4=$W25,$C25,0),IF($D25="Per half jaar",IF(MOD(4-$W25,6)=0,$C25,0),IF($D25="Per kwartaal",IF(MOD(4-$W25,3)=0,$C25,0),$F25))))))</f>
        <v/>
      </c>
      <c r="O25" s="107" t="str">
        <f aca="false">IF($C25="","",IF(Dashboard!$C$4="Gemiddeld per maand",$F25,IF(OR($D25="Per maand",$D25="Per week",$D25=""),$F25,IF($D25="Per jaar",IF(5=$W25,$C25,0),IF($D25="Per half jaar",IF(MOD(5-$W25,6)=0,$C25,0),IF($D25="Per kwartaal",IF(MOD(5-$W25,3)=0,$C25,0),$F25))))))</f>
        <v/>
      </c>
      <c r="P25" s="107" t="str">
        <f aca="false">IF($C25="","",IF(Dashboard!$C$4="Gemiddeld per maand",$F25,IF(OR($D25="Per maand",$D25="Per week",$D25=""),$F25,IF($D25="Per jaar",IF(6=$W25,$C25,0),IF($D25="Per half jaar",IF(MOD(6-$W25,6)=0,$C25,0),IF($D25="Per kwartaal",IF(MOD(6-$W25,3)=0,$C25,0),$F25))))))</f>
        <v/>
      </c>
      <c r="Q25" s="107" t="str">
        <f aca="false">IF($C25="","",IF(Dashboard!$C$4="Gemiddeld per maand",$F25,IF(OR($D25="Per maand",$D25="Per week",$D25=""),$F25,IF($D25="Per jaar",IF(7=$W25,$C25,0),IF($D25="Per half jaar",IF(MOD(7-$W25,6)=0,$C25,0),IF($D25="Per kwartaal",IF(MOD(7-$W25,3)=0,$C25,0),$F25))))))</f>
        <v/>
      </c>
      <c r="R25" s="107" t="str">
        <f aca="false">IF($C25="","",IF(Dashboard!$C$4="Gemiddeld per maand",$F25,IF(OR($D25="Per maand",$D25="Per week",$D25=""),$F25,IF($D25="Per jaar",IF(8=$W25,$C25,0),IF($D25="Per half jaar",IF(MOD(8-$W25,6)=0,$C25,0),IF($D25="Per kwartaal",IF(MOD(8-$W25,3)=0,$C25,0),$F25))))))</f>
        <v/>
      </c>
      <c r="S25" s="107" t="str">
        <f aca="false">IF($C25="","",IF(Dashboard!$C$4="Gemiddeld per maand",$F25,IF(OR($D25="Per maand",$D25="Per week",$D25=""),$F25,IF($D25="Per jaar",IF(9=$W25,$C25,0),IF($D25="Per half jaar",IF(MOD(9-$W25,6)=0,$C25,0),IF($D25="Per kwartaal",IF(MOD(9-$W25,3)=0,$C25,0),$F25))))))</f>
        <v/>
      </c>
      <c r="T25" s="107" t="str">
        <f aca="false">IF($C25="","",IF(Dashboard!$C$4="Gemiddeld per maand",$F25,IF(OR($D25="Per maand",$D25="Per week",$D25=""),$F25,IF($D25="Per jaar",IF(10=$W25,$C25,0),IF($D25="Per half jaar",IF(MOD(10-$W25,6)=0,$C25,0),IF($D25="Per kwartaal",IF(MOD(10-$W25,3)=0,$C25,0),$F25))))))</f>
        <v/>
      </c>
      <c r="U25" s="107" t="str">
        <f aca="false">IF($C25="","",IF(Dashboard!$C$4="Gemiddeld per maand",$F25,IF(OR($D25="Per maand",$D25="Per week",$D25=""),$F25,IF($D25="Per jaar",IF(11=$W25,$C25,0),IF($D25="Per half jaar",IF(MOD(11-$W25,6)=0,$C25,0),IF($D25="Per kwartaal",IF(MOD(11-$W25,3)=0,$C25,0),$F25))))))</f>
        <v/>
      </c>
      <c r="V25" s="107" t="str">
        <f aca="false">IF($C25="","",IF(Dashboard!$C$4="Gemiddeld per maand",$F25,IF(OR($D25="Per maand",$D25="Per week",$D25=""),$F25,IF($D25="Per jaar",IF(12=$W25,$C25,0),IF($D25="Per half jaar",IF(MOD(12-$W25,6)=0,$C25,0),IF($D25="Per kwartaal",IF(MOD(12-$W25,3)=0,$C25,0),$F25))))))</f>
        <v/>
      </c>
      <c r="W25" s="15" t="n">
        <f aca="false">IF($E25="",1,IFERROR(MATCH($E25,Lijsten!$K$6:$K$17,0),1))</f>
        <v>1</v>
      </c>
    </row>
    <row r="26" customFormat="false" ht="15" hidden="false" customHeight="false" outlineLevel="0" collapsed="false">
      <c r="A26" s="102"/>
      <c r="B26" s="102"/>
      <c r="C26" s="92"/>
      <c r="D26" s="102"/>
      <c r="E26" s="103"/>
      <c r="F26" s="104" t="str">
        <f aca="false">IF($C26="","",IF($D26="Per jaar",$C26/12,IF($D26="Per kwartaal",$C26/3,IF($D26="Per half jaar",$C26/6,IF($D26="Per week",$C26*52/12,$C26)))))</f>
        <v/>
      </c>
      <c r="G26" s="102"/>
      <c r="H26" s="103"/>
      <c r="I26" s="105"/>
      <c r="J26" s="106" t="str">
        <f aca="false">IF($C26="","",IF(Dashboard!$C$4="Gemiddeld per maand",$F26,IF(OR($D26="Per maand",$D26="Per week",$D26=""),$F26,IF($D26="Per jaar",IF(Dashboard!$N$2=$W26,$C26,0),IF($D26="Per half jaar",IF(MOD(Dashboard!$N$2-$W26,6)=0,$C26,0),IF($D26="Per kwartaal",IF(MOD(Dashboard!$N$2-$W26,3)=0,$C26,0),$F26))))))</f>
        <v/>
      </c>
      <c r="K26" s="107" t="str">
        <f aca="false">IF($C26="","",IF(Dashboard!$C$4="Gemiddeld per maand",$F26,IF(OR($D26="Per maand",$D26="Per week",$D26=""),$F26,IF($D26="Per jaar",IF(1=$W26,$C26,0),IF($D26="Per half jaar",IF(MOD(1-$W26,6)=0,$C26,0),IF($D26="Per kwartaal",IF(MOD(1-$W26,3)=0,$C26,0),$F26))))))</f>
        <v/>
      </c>
      <c r="L26" s="107" t="str">
        <f aca="false">IF($C26="","",IF(Dashboard!$C$4="Gemiddeld per maand",$F26,IF(OR($D26="Per maand",$D26="Per week",$D26=""),$F26,IF($D26="Per jaar",IF(2=$W26,$C26,0),IF($D26="Per half jaar",IF(MOD(2-$W26,6)=0,$C26,0),IF($D26="Per kwartaal",IF(MOD(2-$W26,3)=0,$C26,0),$F26))))))</f>
        <v/>
      </c>
      <c r="M26" s="107" t="str">
        <f aca="false">IF($C26="","",IF(Dashboard!$C$4="Gemiddeld per maand",$F26,IF(OR($D26="Per maand",$D26="Per week",$D26=""),$F26,IF($D26="Per jaar",IF(3=$W26,$C26,0),IF($D26="Per half jaar",IF(MOD(3-$W26,6)=0,$C26,0),IF($D26="Per kwartaal",IF(MOD(3-$W26,3)=0,$C26,0),$F26))))))</f>
        <v/>
      </c>
      <c r="N26" s="107" t="str">
        <f aca="false">IF($C26="","",IF(Dashboard!$C$4="Gemiddeld per maand",$F26,IF(OR($D26="Per maand",$D26="Per week",$D26=""),$F26,IF($D26="Per jaar",IF(4=$W26,$C26,0),IF($D26="Per half jaar",IF(MOD(4-$W26,6)=0,$C26,0),IF($D26="Per kwartaal",IF(MOD(4-$W26,3)=0,$C26,0),$F26))))))</f>
        <v/>
      </c>
      <c r="O26" s="107" t="str">
        <f aca="false">IF($C26="","",IF(Dashboard!$C$4="Gemiddeld per maand",$F26,IF(OR($D26="Per maand",$D26="Per week",$D26=""),$F26,IF($D26="Per jaar",IF(5=$W26,$C26,0),IF($D26="Per half jaar",IF(MOD(5-$W26,6)=0,$C26,0),IF($D26="Per kwartaal",IF(MOD(5-$W26,3)=0,$C26,0),$F26))))))</f>
        <v/>
      </c>
      <c r="P26" s="107" t="str">
        <f aca="false">IF($C26="","",IF(Dashboard!$C$4="Gemiddeld per maand",$F26,IF(OR($D26="Per maand",$D26="Per week",$D26=""),$F26,IF($D26="Per jaar",IF(6=$W26,$C26,0),IF($D26="Per half jaar",IF(MOD(6-$W26,6)=0,$C26,0),IF($D26="Per kwartaal",IF(MOD(6-$W26,3)=0,$C26,0),$F26))))))</f>
        <v/>
      </c>
      <c r="Q26" s="107" t="str">
        <f aca="false">IF($C26="","",IF(Dashboard!$C$4="Gemiddeld per maand",$F26,IF(OR($D26="Per maand",$D26="Per week",$D26=""),$F26,IF($D26="Per jaar",IF(7=$W26,$C26,0),IF($D26="Per half jaar",IF(MOD(7-$W26,6)=0,$C26,0),IF($D26="Per kwartaal",IF(MOD(7-$W26,3)=0,$C26,0),$F26))))))</f>
        <v/>
      </c>
      <c r="R26" s="107" t="str">
        <f aca="false">IF($C26="","",IF(Dashboard!$C$4="Gemiddeld per maand",$F26,IF(OR($D26="Per maand",$D26="Per week",$D26=""),$F26,IF($D26="Per jaar",IF(8=$W26,$C26,0),IF($D26="Per half jaar",IF(MOD(8-$W26,6)=0,$C26,0),IF($D26="Per kwartaal",IF(MOD(8-$W26,3)=0,$C26,0),$F26))))))</f>
        <v/>
      </c>
      <c r="S26" s="107" t="str">
        <f aca="false">IF($C26="","",IF(Dashboard!$C$4="Gemiddeld per maand",$F26,IF(OR($D26="Per maand",$D26="Per week",$D26=""),$F26,IF($D26="Per jaar",IF(9=$W26,$C26,0),IF($D26="Per half jaar",IF(MOD(9-$W26,6)=0,$C26,0),IF($D26="Per kwartaal",IF(MOD(9-$W26,3)=0,$C26,0),$F26))))))</f>
        <v/>
      </c>
      <c r="T26" s="107" t="str">
        <f aca="false">IF($C26="","",IF(Dashboard!$C$4="Gemiddeld per maand",$F26,IF(OR($D26="Per maand",$D26="Per week",$D26=""),$F26,IF($D26="Per jaar",IF(10=$W26,$C26,0),IF($D26="Per half jaar",IF(MOD(10-$W26,6)=0,$C26,0),IF($D26="Per kwartaal",IF(MOD(10-$W26,3)=0,$C26,0),$F26))))))</f>
        <v/>
      </c>
      <c r="U26" s="107" t="str">
        <f aca="false">IF($C26="","",IF(Dashboard!$C$4="Gemiddeld per maand",$F26,IF(OR($D26="Per maand",$D26="Per week",$D26=""),$F26,IF($D26="Per jaar",IF(11=$W26,$C26,0),IF($D26="Per half jaar",IF(MOD(11-$W26,6)=0,$C26,0),IF($D26="Per kwartaal",IF(MOD(11-$W26,3)=0,$C26,0),$F26))))))</f>
        <v/>
      </c>
      <c r="V26" s="107" t="str">
        <f aca="false">IF($C26="","",IF(Dashboard!$C$4="Gemiddeld per maand",$F26,IF(OR($D26="Per maand",$D26="Per week",$D26=""),$F26,IF($D26="Per jaar",IF(12=$W26,$C26,0),IF($D26="Per half jaar",IF(MOD(12-$W26,6)=0,$C26,0),IF($D26="Per kwartaal",IF(MOD(12-$W26,3)=0,$C26,0),$F26))))))</f>
        <v/>
      </c>
      <c r="W26" s="15" t="n">
        <f aca="false">IF($E26="",1,IFERROR(MATCH($E26,Lijsten!$K$6:$K$17,0),1))</f>
        <v>1</v>
      </c>
    </row>
    <row r="27" customFormat="false" ht="15" hidden="false" customHeight="false" outlineLevel="0" collapsed="false">
      <c r="A27" s="102"/>
      <c r="B27" s="102"/>
      <c r="C27" s="92"/>
      <c r="D27" s="102"/>
      <c r="E27" s="103"/>
      <c r="F27" s="104" t="str">
        <f aca="false">IF($C27="","",IF($D27="Per jaar",$C27/12,IF($D27="Per kwartaal",$C27/3,IF($D27="Per half jaar",$C27/6,IF($D27="Per week",$C27*52/12,$C27)))))</f>
        <v/>
      </c>
      <c r="G27" s="102"/>
      <c r="H27" s="103"/>
      <c r="I27" s="105"/>
      <c r="J27" s="106" t="str">
        <f aca="false">IF($C27="","",IF(Dashboard!$C$4="Gemiddeld per maand",$F27,IF(OR($D27="Per maand",$D27="Per week",$D27=""),$F27,IF($D27="Per jaar",IF(Dashboard!$N$2=$W27,$C27,0),IF($D27="Per half jaar",IF(MOD(Dashboard!$N$2-$W27,6)=0,$C27,0),IF($D27="Per kwartaal",IF(MOD(Dashboard!$N$2-$W27,3)=0,$C27,0),$F27))))))</f>
        <v/>
      </c>
      <c r="K27" s="107" t="str">
        <f aca="false">IF($C27="","",IF(Dashboard!$C$4="Gemiddeld per maand",$F27,IF(OR($D27="Per maand",$D27="Per week",$D27=""),$F27,IF($D27="Per jaar",IF(1=$W27,$C27,0),IF($D27="Per half jaar",IF(MOD(1-$W27,6)=0,$C27,0),IF($D27="Per kwartaal",IF(MOD(1-$W27,3)=0,$C27,0),$F27))))))</f>
        <v/>
      </c>
      <c r="L27" s="107" t="str">
        <f aca="false">IF($C27="","",IF(Dashboard!$C$4="Gemiddeld per maand",$F27,IF(OR($D27="Per maand",$D27="Per week",$D27=""),$F27,IF($D27="Per jaar",IF(2=$W27,$C27,0),IF($D27="Per half jaar",IF(MOD(2-$W27,6)=0,$C27,0),IF($D27="Per kwartaal",IF(MOD(2-$W27,3)=0,$C27,0),$F27))))))</f>
        <v/>
      </c>
      <c r="M27" s="107" t="str">
        <f aca="false">IF($C27="","",IF(Dashboard!$C$4="Gemiddeld per maand",$F27,IF(OR($D27="Per maand",$D27="Per week",$D27=""),$F27,IF($D27="Per jaar",IF(3=$W27,$C27,0),IF($D27="Per half jaar",IF(MOD(3-$W27,6)=0,$C27,0),IF($D27="Per kwartaal",IF(MOD(3-$W27,3)=0,$C27,0),$F27))))))</f>
        <v/>
      </c>
      <c r="N27" s="107" t="str">
        <f aca="false">IF($C27="","",IF(Dashboard!$C$4="Gemiddeld per maand",$F27,IF(OR($D27="Per maand",$D27="Per week",$D27=""),$F27,IF($D27="Per jaar",IF(4=$W27,$C27,0),IF($D27="Per half jaar",IF(MOD(4-$W27,6)=0,$C27,0),IF($D27="Per kwartaal",IF(MOD(4-$W27,3)=0,$C27,0),$F27))))))</f>
        <v/>
      </c>
      <c r="O27" s="107" t="str">
        <f aca="false">IF($C27="","",IF(Dashboard!$C$4="Gemiddeld per maand",$F27,IF(OR($D27="Per maand",$D27="Per week",$D27=""),$F27,IF($D27="Per jaar",IF(5=$W27,$C27,0),IF($D27="Per half jaar",IF(MOD(5-$W27,6)=0,$C27,0),IF($D27="Per kwartaal",IF(MOD(5-$W27,3)=0,$C27,0),$F27))))))</f>
        <v/>
      </c>
      <c r="P27" s="107" t="str">
        <f aca="false">IF($C27="","",IF(Dashboard!$C$4="Gemiddeld per maand",$F27,IF(OR($D27="Per maand",$D27="Per week",$D27=""),$F27,IF($D27="Per jaar",IF(6=$W27,$C27,0),IF($D27="Per half jaar",IF(MOD(6-$W27,6)=0,$C27,0),IF($D27="Per kwartaal",IF(MOD(6-$W27,3)=0,$C27,0),$F27))))))</f>
        <v/>
      </c>
      <c r="Q27" s="107" t="str">
        <f aca="false">IF($C27="","",IF(Dashboard!$C$4="Gemiddeld per maand",$F27,IF(OR($D27="Per maand",$D27="Per week",$D27=""),$F27,IF($D27="Per jaar",IF(7=$W27,$C27,0),IF($D27="Per half jaar",IF(MOD(7-$W27,6)=0,$C27,0),IF($D27="Per kwartaal",IF(MOD(7-$W27,3)=0,$C27,0),$F27))))))</f>
        <v/>
      </c>
      <c r="R27" s="107" t="str">
        <f aca="false">IF($C27="","",IF(Dashboard!$C$4="Gemiddeld per maand",$F27,IF(OR($D27="Per maand",$D27="Per week",$D27=""),$F27,IF($D27="Per jaar",IF(8=$W27,$C27,0),IF($D27="Per half jaar",IF(MOD(8-$W27,6)=0,$C27,0),IF($D27="Per kwartaal",IF(MOD(8-$W27,3)=0,$C27,0),$F27))))))</f>
        <v/>
      </c>
      <c r="S27" s="107" t="str">
        <f aca="false">IF($C27="","",IF(Dashboard!$C$4="Gemiddeld per maand",$F27,IF(OR($D27="Per maand",$D27="Per week",$D27=""),$F27,IF($D27="Per jaar",IF(9=$W27,$C27,0),IF($D27="Per half jaar",IF(MOD(9-$W27,6)=0,$C27,0),IF($D27="Per kwartaal",IF(MOD(9-$W27,3)=0,$C27,0),$F27))))))</f>
        <v/>
      </c>
      <c r="T27" s="107" t="str">
        <f aca="false">IF($C27="","",IF(Dashboard!$C$4="Gemiddeld per maand",$F27,IF(OR($D27="Per maand",$D27="Per week",$D27=""),$F27,IF($D27="Per jaar",IF(10=$W27,$C27,0),IF($D27="Per half jaar",IF(MOD(10-$W27,6)=0,$C27,0),IF($D27="Per kwartaal",IF(MOD(10-$W27,3)=0,$C27,0),$F27))))))</f>
        <v/>
      </c>
      <c r="U27" s="107" t="str">
        <f aca="false">IF($C27="","",IF(Dashboard!$C$4="Gemiddeld per maand",$F27,IF(OR($D27="Per maand",$D27="Per week",$D27=""),$F27,IF($D27="Per jaar",IF(11=$W27,$C27,0),IF($D27="Per half jaar",IF(MOD(11-$W27,6)=0,$C27,0),IF($D27="Per kwartaal",IF(MOD(11-$W27,3)=0,$C27,0),$F27))))))</f>
        <v/>
      </c>
      <c r="V27" s="107" t="str">
        <f aca="false">IF($C27="","",IF(Dashboard!$C$4="Gemiddeld per maand",$F27,IF(OR($D27="Per maand",$D27="Per week",$D27=""),$F27,IF($D27="Per jaar",IF(12=$W27,$C27,0),IF($D27="Per half jaar",IF(MOD(12-$W27,6)=0,$C27,0),IF($D27="Per kwartaal",IF(MOD(12-$W27,3)=0,$C27,0),$F27))))))</f>
        <v/>
      </c>
      <c r="W27" s="15" t="n">
        <f aca="false">IF($E27="",1,IFERROR(MATCH($E27,Lijsten!$K$6:$K$17,0),1))</f>
        <v>1</v>
      </c>
    </row>
    <row r="28" customFormat="false" ht="15" hidden="false" customHeight="false" outlineLevel="0" collapsed="false">
      <c r="A28" s="102"/>
      <c r="B28" s="102"/>
      <c r="C28" s="92"/>
      <c r="D28" s="102"/>
      <c r="E28" s="103"/>
      <c r="F28" s="104" t="str">
        <f aca="false">IF($C28="","",IF($D28="Per jaar",$C28/12,IF($D28="Per kwartaal",$C28/3,IF($D28="Per half jaar",$C28/6,IF($D28="Per week",$C28*52/12,$C28)))))</f>
        <v/>
      </c>
      <c r="G28" s="102"/>
      <c r="H28" s="103"/>
      <c r="I28" s="105"/>
      <c r="J28" s="106" t="str">
        <f aca="false">IF($C28="","",IF(Dashboard!$C$4="Gemiddeld per maand",$F28,IF(OR($D28="Per maand",$D28="Per week",$D28=""),$F28,IF($D28="Per jaar",IF(Dashboard!$N$2=$W28,$C28,0),IF($D28="Per half jaar",IF(MOD(Dashboard!$N$2-$W28,6)=0,$C28,0),IF($D28="Per kwartaal",IF(MOD(Dashboard!$N$2-$W28,3)=0,$C28,0),$F28))))))</f>
        <v/>
      </c>
      <c r="K28" s="107" t="str">
        <f aca="false">IF($C28="","",IF(Dashboard!$C$4="Gemiddeld per maand",$F28,IF(OR($D28="Per maand",$D28="Per week",$D28=""),$F28,IF($D28="Per jaar",IF(1=$W28,$C28,0),IF($D28="Per half jaar",IF(MOD(1-$W28,6)=0,$C28,0),IF($D28="Per kwartaal",IF(MOD(1-$W28,3)=0,$C28,0),$F28))))))</f>
        <v/>
      </c>
      <c r="L28" s="107" t="str">
        <f aca="false">IF($C28="","",IF(Dashboard!$C$4="Gemiddeld per maand",$F28,IF(OR($D28="Per maand",$D28="Per week",$D28=""),$F28,IF($D28="Per jaar",IF(2=$W28,$C28,0),IF($D28="Per half jaar",IF(MOD(2-$W28,6)=0,$C28,0),IF($D28="Per kwartaal",IF(MOD(2-$W28,3)=0,$C28,0),$F28))))))</f>
        <v/>
      </c>
      <c r="M28" s="107" t="str">
        <f aca="false">IF($C28="","",IF(Dashboard!$C$4="Gemiddeld per maand",$F28,IF(OR($D28="Per maand",$D28="Per week",$D28=""),$F28,IF($D28="Per jaar",IF(3=$W28,$C28,0),IF($D28="Per half jaar",IF(MOD(3-$W28,6)=0,$C28,0),IF($D28="Per kwartaal",IF(MOD(3-$W28,3)=0,$C28,0),$F28))))))</f>
        <v/>
      </c>
      <c r="N28" s="107" t="str">
        <f aca="false">IF($C28="","",IF(Dashboard!$C$4="Gemiddeld per maand",$F28,IF(OR($D28="Per maand",$D28="Per week",$D28=""),$F28,IF($D28="Per jaar",IF(4=$W28,$C28,0),IF($D28="Per half jaar",IF(MOD(4-$W28,6)=0,$C28,0),IF($D28="Per kwartaal",IF(MOD(4-$W28,3)=0,$C28,0),$F28))))))</f>
        <v/>
      </c>
      <c r="O28" s="107" t="str">
        <f aca="false">IF($C28="","",IF(Dashboard!$C$4="Gemiddeld per maand",$F28,IF(OR($D28="Per maand",$D28="Per week",$D28=""),$F28,IF($D28="Per jaar",IF(5=$W28,$C28,0),IF($D28="Per half jaar",IF(MOD(5-$W28,6)=0,$C28,0),IF($D28="Per kwartaal",IF(MOD(5-$W28,3)=0,$C28,0),$F28))))))</f>
        <v/>
      </c>
      <c r="P28" s="107" t="str">
        <f aca="false">IF($C28="","",IF(Dashboard!$C$4="Gemiddeld per maand",$F28,IF(OR($D28="Per maand",$D28="Per week",$D28=""),$F28,IF($D28="Per jaar",IF(6=$W28,$C28,0),IF($D28="Per half jaar",IF(MOD(6-$W28,6)=0,$C28,0),IF($D28="Per kwartaal",IF(MOD(6-$W28,3)=0,$C28,0),$F28))))))</f>
        <v/>
      </c>
      <c r="Q28" s="107" t="str">
        <f aca="false">IF($C28="","",IF(Dashboard!$C$4="Gemiddeld per maand",$F28,IF(OR($D28="Per maand",$D28="Per week",$D28=""),$F28,IF($D28="Per jaar",IF(7=$W28,$C28,0),IF($D28="Per half jaar",IF(MOD(7-$W28,6)=0,$C28,0),IF($D28="Per kwartaal",IF(MOD(7-$W28,3)=0,$C28,0),$F28))))))</f>
        <v/>
      </c>
      <c r="R28" s="107" t="str">
        <f aca="false">IF($C28="","",IF(Dashboard!$C$4="Gemiddeld per maand",$F28,IF(OR($D28="Per maand",$D28="Per week",$D28=""),$F28,IF($D28="Per jaar",IF(8=$W28,$C28,0),IF($D28="Per half jaar",IF(MOD(8-$W28,6)=0,$C28,0),IF($D28="Per kwartaal",IF(MOD(8-$W28,3)=0,$C28,0),$F28))))))</f>
        <v/>
      </c>
      <c r="S28" s="107" t="str">
        <f aca="false">IF($C28="","",IF(Dashboard!$C$4="Gemiddeld per maand",$F28,IF(OR($D28="Per maand",$D28="Per week",$D28=""),$F28,IF($D28="Per jaar",IF(9=$W28,$C28,0),IF($D28="Per half jaar",IF(MOD(9-$W28,6)=0,$C28,0),IF($D28="Per kwartaal",IF(MOD(9-$W28,3)=0,$C28,0),$F28))))))</f>
        <v/>
      </c>
      <c r="T28" s="107" t="str">
        <f aca="false">IF($C28="","",IF(Dashboard!$C$4="Gemiddeld per maand",$F28,IF(OR($D28="Per maand",$D28="Per week",$D28=""),$F28,IF($D28="Per jaar",IF(10=$W28,$C28,0),IF($D28="Per half jaar",IF(MOD(10-$W28,6)=0,$C28,0),IF($D28="Per kwartaal",IF(MOD(10-$W28,3)=0,$C28,0),$F28))))))</f>
        <v/>
      </c>
      <c r="U28" s="107" t="str">
        <f aca="false">IF($C28="","",IF(Dashboard!$C$4="Gemiddeld per maand",$F28,IF(OR($D28="Per maand",$D28="Per week",$D28=""),$F28,IF($D28="Per jaar",IF(11=$W28,$C28,0),IF($D28="Per half jaar",IF(MOD(11-$W28,6)=0,$C28,0),IF($D28="Per kwartaal",IF(MOD(11-$W28,3)=0,$C28,0),$F28))))))</f>
        <v/>
      </c>
      <c r="V28" s="107" t="str">
        <f aca="false">IF($C28="","",IF(Dashboard!$C$4="Gemiddeld per maand",$F28,IF(OR($D28="Per maand",$D28="Per week",$D28=""),$F28,IF($D28="Per jaar",IF(12=$W28,$C28,0),IF($D28="Per half jaar",IF(MOD(12-$W28,6)=0,$C28,0),IF($D28="Per kwartaal",IF(MOD(12-$W28,3)=0,$C28,0),$F28))))))</f>
        <v/>
      </c>
      <c r="W28" s="15" t="n">
        <f aca="false">IF($E28="",1,IFERROR(MATCH($E28,Lijsten!$K$6:$K$17,0),1))</f>
        <v>1</v>
      </c>
    </row>
    <row r="29" customFormat="false" ht="15" hidden="false" customHeight="false" outlineLevel="0" collapsed="false">
      <c r="A29" s="102"/>
      <c r="B29" s="102"/>
      <c r="C29" s="92"/>
      <c r="D29" s="102"/>
      <c r="E29" s="103"/>
      <c r="F29" s="104" t="str">
        <f aca="false">IF($C29="","",IF($D29="Per jaar",$C29/12,IF($D29="Per kwartaal",$C29/3,IF($D29="Per half jaar",$C29/6,IF($D29="Per week",$C29*52/12,$C29)))))</f>
        <v/>
      </c>
      <c r="G29" s="102"/>
      <c r="H29" s="103"/>
      <c r="I29" s="105"/>
      <c r="J29" s="106" t="str">
        <f aca="false">IF($C29="","",IF(Dashboard!$C$4="Gemiddeld per maand",$F29,IF(OR($D29="Per maand",$D29="Per week",$D29=""),$F29,IF($D29="Per jaar",IF(Dashboard!$N$2=$W29,$C29,0),IF($D29="Per half jaar",IF(MOD(Dashboard!$N$2-$W29,6)=0,$C29,0),IF($D29="Per kwartaal",IF(MOD(Dashboard!$N$2-$W29,3)=0,$C29,0),$F29))))))</f>
        <v/>
      </c>
      <c r="K29" s="107" t="str">
        <f aca="false">IF($C29="","",IF(Dashboard!$C$4="Gemiddeld per maand",$F29,IF(OR($D29="Per maand",$D29="Per week",$D29=""),$F29,IF($D29="Per jaar",IF(1=$W29,$C29,0),IF($D29="Per half jaar",IF(MOD(1-$W29,6)=0,$C29,0),IF($D29="Per kwartaal",IF(MOD(1-$W29,3)=0,$C29,0),$F29))))))</f>
        <v/>
      </c>
      <c r="L29" s="107" t="str">
        <f aca="false">IF($C29="","",IF(Dashboard!$C$4="Gemiddeld per maand",$F29,IF(OR($D29="Per maand",$D29="Per week",$D29=""),$F29,IF($D29="Per jaar",IF(2=$W29,$C29,0),IF($D29="Per half jaar",IF(MOD(2-$W29,6)=0,$C29,0),IF($D29="Per kwartaal",IF(MOD(2-$W29,3)=0,$C29,0),$F29))))))</f>
        <v/>
      </c>
      <c r="M29" s="107" t="str">
        <f aca="false">IF($C29="","",IF(Dashboard!$C$4="Gemiddeld per maand",$F29,IF(OR($D29="Per maand",$D29="Per week",$D29=""),$F29,IF($D29="Per jaar",IF(3=$W29,$C29,0),IF($D29="Per half jaar",IF(MOD(3-$W29,6)=0,$C29,0),IF($D29="Per kwartaal",IF(MOD(3-$W29,3)=0,$C29,0),$F29))))))</f>
        <v/>
      </c>
      <c r="N29" s="107" t="str">
        <f aca="false">IF($C29="","",IF(Dashboard!$C$4="Gemiddeld per maand",$F29,IF(OR($D29="Per maand",$D29="Per week",$D29=""),$F29,IF($D29="Per jaar",IF(4=$W29,$C29,0),IF($D29="Per half jaar",IF(MOD(4-$W29,6)=0,$C29,0),IF($D29="Per kwartaal",IF(MOD(4-$W29,3)=0,$C29,0),$F29))))))</f>
        <v/>
      </c>
      <c r="O29" s="107" t="str">
        <f aca="false">IF($C29="","",IF(Dashboard!$C$4="Gemiddeld per maand",$F29,IF(OR($D29="Per maand",$D29="Per week",$D29=""),$F29,IF($D29="Per jaar",IF(5=$W29,$C29,0),IF($D29="Per half jaar",IF(MOD(5-$W29,6)=0,$C29,0),IF($D29="Per kwartaal",IF(MOD(5-$W29,3)=0,$C29,0),$F29))))))</f>
        <v/>
      </c>
      <c r="P29" s="107" t="str">
        <f aca="false">IF($C29="","",IF(Dashboard!$C$4="Gemiddeld per maand",$F29,IF(OR($D29="Per maand",$D29="Per week",$D29=""),$F29,IF($D29="Per jaar",IF(6=$W29,$C29,0),IF($D29="Per half jaar",IF(MOD(6-$W29,6)=0,$C29,0),IF($D29="Per kwartaal",IF(MOD(6-$W29,3)=0,$C29,0),$F29))))))</f>
        <v/>
      </c>
      <c r="Q29" s="107" t="str">
        <f aca="false">IF($C29="","",IF(Dashboard!$C$4="Gemiddeld per maand",$F29,IF(OR($D29="Per maand",$D29="Per week",$D29=""),$F29,IF($D29="Per jaar",IF(7=$W29,$C29,0),IF($D29="Per half jaar",IF(MOD(7-$W29,6)=0,$C29,0),IF($D29="Per kwartaal",IF(MOD(7-$W29,3)=0,$C29,0),$F29))))))</f>
        <v/>
      </c>
      <c r="R29" s="107" t="str">
        <f aca="false">IF($C29="","",IF(Dashboard!$C$4="Gemiddeld per maand",$F29,IF(OR($D29="Per maand",$D29="Per week",$D29=""),$F29,IF($D29="Per jaar",IF(8=$W29,$C29,0),IF($D29="Per half jaar",IF(MOD(8-$W29,6)=0,$C29,0),IF($D29="Per kwartaal",IF(MOD(8-$W29,3)=0,$C29,0),$F29))))))</f>
        <v/>
      </c>
      <c r="S29" s="107" t="str">
        <f aca="false">IF($C29="","",IF(Dashboard!$C$4="Gemiddeld per maand",$F29,IF(OR($D29="Per maand",$D29="Per week",$D29=""),$F29,IF($D29="Per jaar",IF(9=$W29,$C29,0),IF($D29="Per half jaar",IF(MOD(9-$W29,6)=0,$C29,0),IF($D29="Per kwartaal",IF(MOD(9-$W29,3)=0,$C29,0),$F29))))))</f>
        <v/>
      </c>
      <c r="T29" s="107" t="str">
        <f aca="false">IF($C29="","",IF(Dashboard!$C$4="Gemiddeld per maand",$F29,IF(OR($D29="Per maand",$D29="Per week",$D29=""),$F29,IF($D29="Per jaar",IF(10=$W29,$C29,0),IF($D29="Per half jaar",IF(MOD(10-$W29,6)=0,$C29,0),IF($D29="Per kwartaal",IF(MOD(10-$W29,3)=0,$C29,0),$F29))))))</f>
        <v/>
      </c>
      <c r="U29" s="107" t="str">
        <f aca="false">IF($C29="","",IF(Dashboard!$C$4="Gemiddeld per maand",$F29,IF(OR($D29="Per maand",$D29="Per week",$D29=""),$F29,IF($D29="Per jaar",IF(11=$W29,$C29,0),IF($D29="Per half jaar",IF(MOD(11-$W29,6)=0,$C29,0),IF($D29="Per kwartaal",IF(MOD(11-$W29,3)=0,$C29,0),$F29))))))</f>
        <v/>
      </c>
      <c r="V29" s="107" t="str">
        <f aca="false">IF($C29="","",IF(Dashboard!$C$4="Gemiddeld per maand",$F29,IF(OR($D29="Per maand",$D29="Per week",$D29=""),$F29,IF($D29="Per jaar",IF(12=$W29,$C29,0),IF($D29="Per half jaar",IF(MOD(12-$W29,6)=0,$C29,0),IF($D29="Per kwartaal",IF(MOD(12-$W29,3)=0,$C29,0),$F29))))))</f>
        <v/>
      </c>
      <c r="W29" s="15" t="n">
        <f aca="false">IF($E29="",1,IFERROR(MATCH($E29,Lijsten!$K$6:$K$17,0),1))</f>
        <v>1</v>
      </c>
    </row>
    <row r="30" customFormat="false" ht="15" hidden="false" customHeight="false" outlineLevel="0" collapsed="false">
      <c r="A30" s="102"/>
      <c r="B30" s="102"/>
      <c r="C30" s="92"/>
      <c r="D30" s="102"/>
      <c r="E30" s="103"/>
      <c r="F30" s="104" t="str">
        <f aca="false">IF($C30="","",IF($D30="Per jaar",$C30/12,IF($D30="Per kwartaal",$C30/3,IF($D30="Per half jaar",$C30/6,IF($D30="Per week",$C30*52/12,$C30)))))</f>
        <v/>
      </c>
      <c r="G30" s="102"/>
      <c r="H30" s="103"/>
      <c r="I30" s="105"/>
      <c r="J30" s="106" t="str">
        <f aca="false">IF($C30="","",IF(Dashboard!$C$4="Gemiddeld per maand",$F30,IF(OR($D30="Per maand",$D30="Per week",$D30=""),$F30,IF($D30="Per jaar",IF(Dashboard!$N$2=$W30,$C30,0),IF($D30="Per half jaar",IF(MOD(Dashboard!$N$2-$W30,6)=0,$C30,0),IF($D30="Per kwartaal",IF(MOD(Dashboard!$N$2-$W30,3)=0,$C30,0),$F30))))))</f>
        <v/>
      </c>
      <c r="K30" s="107" t="str">
        <f aca="false">IF($C30="","",IF(Dashboard!$C$4="Gemiddeld per maand",$F30,IF(OR($D30="Per maand",$D30="Per week",$D30=""),$F30,IF($D30="Per jaar",IF(1=$W30,$C30,0),IF($D30="Per half jaar",IF(MOD(1-$W30,6)=0,$C30,0),IF($D30="Per kwartaal",IF(MOD(1-$W30,3)=0,$C30,0),$F30))))))</f>
        <v/>
      </c>
      <c r="L30" s="107" t="str">
        <f aca="false">IF($C30="","",IF(Dashboard!$C$4="Gemiddeld per maand",$F30,IF(OR($D30="Per maand",$D30="Per week",$D30=""),$F30,IF($D30="Per jaar",IF(2=$W30,$C30,0),IF($D30="Per half jaar",IF(MOD(2-$W30,6)=0,$C30,0),IF($D30="Per kwartaal",IF(MOD(2-$W30,3)=0,$C30,0),$F30))))))</f>
        <v/>
      </c>
      <c r="M30" s="107" t="str">
        <f aca="false">IF($C30="","",IF(Dashboard!$C$4="Gemiddeld per maand",$F30,IF(OR($D30="Per maand",$D30="Per week",$D30=""),$F30,IF($D30="Per jaar",IF(3=$W30,$C30,0),IF($D30="Per half jaar",IF(MOD(3-$W30,6)=0,$C30,0),IF($D30="Per kwartaal",IF(MOD(3-$W30,3)=0,$C30,0),$F30))))))</f>
        <v/>
      </c>
      <c r="N30" s="107" t="str">
        <f aca="false">IF($C30="","",IF(Dashboard!$C$4="Gemiddeld per maand",$F30,IF(OR($D30="Per maand",$D30="Per week",$D30=""),$F30,IF($D30="Per jaar",IF(4=$W30,$C30,0),IF($D30="Per half jaar",IF(MOD(4-$W30,6)=0,$C30,0),IF($D30="Per kwartaal",IF(MOD(4-$W30,3)=0,$C30,0),$F30))))))</f>
        <v/>
      </c>
      <c r="O30" s="107" t="str">
        <f aca="false">IF($C30="","",IF(Dashboard!$C$4="Gemiddeld per maand",$F30,IF(OR($D30="Per maand",$D30="Per week",$D30=""),$F30,IF($D30="Per jaar",IF(5=$W30,$C30,0),IF($D30="Per half jaar",IF(MOD(5-$W30,6)=0,$C30,0),IF($D30="Per kwartaal",IF(MOD(5-$W30,3)=0,$C30,0),$F30))))))</f>
        <v/>
      </c>
      <c r="P30" s="107" t="str">
        <f aca="false">IF($C30="","",IF(Dashboard!$C$4="Gemiddeld per maand",$F30,IF(OR($D30="Per maand",$D30="Per week",$D30=""),$F30,IF($D30="Per jaar",IF(6=$W30,$C30,0),IF($D30="Per half jaar",IF(MOD(6-$W30,6)=0,$C30,0),IF($D30="Per kwartaal",IF(MOD(6-$W30,3)=0,$C30,0),$F30))))))</f>
        <v/>
      </c>
      <c r="Q30" s="107" t="str">
        <f aca="false">IF($C30="","",IF(Dashboard!$C$4="Gemiddeld per maand",$F30,IF(OR($D30="Per maand",$D30="Per week",$D30=""),$F30,IF($D30="Per jaar",IF(7=$W30,$C30,0),IF($D30="Per half jaar",IF(MOD(7-$W30,6)=0,$C30,0),IF($D30="Per kwartaal",IF(MOD(7-$W30,3)=0,$C30,0),$F30))))))</f>
        <v/>
      </c>
      <c r="R30" s="107" t="str">
        <f aca="false">IF($C30="","",IF(Dashboard!$C$4="Gemiddeld per maand",$F30,IF(OR($D30="Per maand",$D30="Per week",$D30=""),$F30,IF($D30="Per jaar",IF(8=$W30,$C30,0),IF($D30="Per half jaar",IF(MOD(8-$W30,6)=0,$C30,0),IF($D30="Per kwartaal",IF(MOD(8-$W30,3)=0,$C30,0),$F30))))))</f>
        <v/>
      </c>
      <c r="S30" s="107" t="str">
        <f aca="false">IF($C30="","",IF(Dashboard!$C$4="Gemiddeld per maand",$F30,IF(OR($D30="Per maand",$D30="Per week",$D30=""),$F30,IF($D30="Per jaar",IF(9=$W30,$C30,0),IF($D30="Per half jaar",IF(MOD(9-$W30,6)=0,$C30,0),IF($D30="Per kwartaal",IF(MOD(9-$W30,3)=0,$C30,0),$F30))))))</f>
        <v/>
      </c>
      <c r="T30" s="107" t="str">
        <f aca="false">IF($C30="","",IF(Dashboard!$C$4="Gemiddeld per maand",$F30,IF(OR($D30="Per maand",$D30="Per week",$D30=""),$F30,IF($D30="Per jaar",IF(10=$W30,$C30,0),IF($D30="Per half jaar",IF(MOD(10-$W30,6)=0,$C30,0),IF($D30="Per kwartaal",IF(MOD(10-$W30,3)=0,$C30,0),$F30))))))</f>
        <v/>
      </c>
      <c r="U30" s="107" t="str">
        <f aca="false">IF($C30="","",IF(Dashboard!$C$4="Gemiddeld per maand",$F30,IF(OR($D30="Per maand",$D30="Per week",$D30=""),$F30,IF($D30="Per jaar",IF(11=$W30,$C30,0),IF($D30="Per half jaar",IF(MOD(11-$W30,6)=0,$C30,0),IF($D30="Per kwartaal",IF(MOD(11-$W30,3)=0,$C30,0),$F30))))))</f>
        <v/>
      </c>
      <c r="V30" s="107" t="str">
        <f aca="false">IF($C30="","",IF(Dashboard!$C$4="Gemiddeld per maand",$F30,IF(OR($D30="Per maand",$D30="Per week",$D30=""),$F30,IF($D30="Per jaar",IF(12=$W30,$C30,0),IF($D30="Per half jaar",IF(MOD(12-$W30,6)=0,$C30,0),IF($D30="Per kwartaal",IF(MOD(12-$W30,3)=0,$C30,0),$F30))))))</f>
        <v/>
      </c>
      <c r="W30" s="15" t="n">
        <f aca="false">IF($E30="",1,IFERROR(MATCH($E30,Lijsten!$K$6:$K$17,0),1))</f>
        <v>1</v>
      </c>
    </row>
    <row r="31" customFormat="false" ht="15" hidden="false" customHeight="false" outlineLevel="0" collapsed="false">
      <c r="A31" s="102"/>
      <c r="B31" s="102"/>
      <c r="C31" s="92"/>
      <c r="D31" s="102"/>
      <c r="E31" s="103"/>
      <c r="F31" s="104" t="str">
        <f aca="false">IF($C31="","",IF($D31="Per jaar",$C31/12,IF($D31="Per kwartaal",$C31/3,IF($D31="Per half jaar",$C31/6,IF($D31="Per week",$C31*52/12,$C31)))))</f>
        <v/>
      </c>
      <c r="G31" s="102"/>
      <c r="H31" s="103"/>
      <c r="I31" s="105"/>
      <c r="J31" s="106" t="str">
        <f aca="false">IF($C31="","",IF(Dashboard!$C$4="Gemiddeld per maand",$F31,IF(OR($D31="Per maand",$D31="Per week",$D31=""),$F31,IF($D31="Per jaar",IF(Dashboard!$N$2=$W31,$C31,0),IF($D31="Per half jaar",IF(MOD(Dashboard!$N$2-$W31,6)=0,$C31,0),IF($D31="Per kwartaal",IF(MOD(Dashboard!$N$2-$W31,3)=0,$C31,0),$F31))))))</f>
        <v/>
      </c>
      <c r="K31" s="107" t="str">
        <f aca="false">IF($C31="","",IF(Dashboard!$C$4="Gemiddeld per maand",$F31,IF(OR($D31="Per maand",$D31="Per week",$D31=""),$F31,IF($D31="Per jaar",IF(1=$W31,$C31,0),IF($D31="Per half jaar",IF(MOD(1-$W31,6)=0,$C31,0),IF($D31="Per kwartaal",IF(MOD(1-$W31,3)=0,$C31,0),$F31))))))</f>
        <v/>
      </c>
      <c r="L31" s="107" t="str">
        <f aca="false">IF($C31="","",IF(Dashboard!$C$4="Gemiddeld per maand",$F31,IF(OR($D31="Per maand",$D31="Per week",$D31=""),$F31,IF($D31="Per jaar",IF(2=$W31,$C31,0),IF($D31="Per half jaar",IF(MOD(2-$W31,6)=0,$C31,0),IF($D31="Per kwartaal",IF(MOD(2-$W31,3)=0,$C31,0),$F31))))))</f>
        <v/>
      </c>
      <c r="M31" s="107" t="str">
        <f aca="false">IF($C31="","",IF(Dashboard!$C$4="Gemiddeld per maand",$F31,IF(OR($D31="Per maand",$D31="Per week",$D31=""),$F31,IF($D31="Per jaar",IF(3=$W31,$C31,0),IF($D31="Per half jaar",IF(MOD(3-$W31,6)=0,$C31,0),IF($D31="Per kwartaal",IF(MOD(3-$W31,3)=0,$C31,0),$F31))))))</f>
        <v/>
      </c>
      <c r="N31" s="107" t="str">
        <f aca="false">IF($C31="","",IF(Dashboard!$C$4="Gemiddeld per maand",$F31,IF(OR($D31="Per maand",$D31="Per week",$D31=""),$F31,IF($D31="Per jaar",IF(4=$W31,$C31,0),IF($D31="Per half jaar",IF(MOD(4-$W31,6)=0,$C31,0),IF($D31="Per kwartaal",IF(MOD(4-$W31,3)=0,$C31,0),$F31))))))</f>
        <v/>
      </c>
      <c r="O31" s="107" t="str">
        <f aca="false">IF($C31="","",IF(Dashboard!$C$4="Gemiddeld per maand",$F31,IF(OR($D31="Per maand",$D31="Per week",$D31=""),$F31,IF($D31="Per jaar",IF(5=$W31,$C31,0),IF($D31="Per half jaar",IF(MOD(5-$W31,6)=0,$C31,0),IF($D31="Per kwartaal",IF(MOD(5-$W31,3)=0,$C31,0),$F31))))))</f>
        <v/>
      </c>
      <c r="P31" s="107" t="str">
        <f aca="false">IF($C31="","",IF(Dashboard!$C$4="Gemiddeld per maand",$F31,IF(OR($D31="Per maand",$D31="Per week",$D31=""),$F31,IF($D31="Per jaar",IF(6=$W31,$C31,0),IF($D31="Per half jaar",IF(MOD(6-$W31,6)=0,$C31,0),IF($D31="Per kwartaal",IF(MOD(6-$W31,3)=0,$C31,0),$F31))))))</f>
        <v/>
      </c>
      <c r="Q31" s="107" t="str">
        <f aca="false">IF($C31="","",IF(Dashboard!$C$4="Gemiddeld per maand",$F31,IF(OR($D31="Per maand",$D31="Per week",$D31=""),$F31,IF($D31="Per jaar",IF(7=$W31,$C31,0),IF($D31="Per half jaar",IF(MOD(7-$W31,6)=0,$C31,0),IF($D31="Per kwartaal",IF(MOD(7-$W31,3)=0,$C31,0),$F31))))))</f>
        <v/>
      </c>
      <c r="R31" s="107" t="str">
        <f aca="false">IF($C31="","",IF(Dashboard!$C$4="Gemiddeld per maand",$F31,IF(OR($D31="Per maand",$D31="Per week",$D31=""),$F31,IF($D31="Per jaar",IF(8=$W31,$C31,0),IF($D31="Per half jaar",IF(MOD(8-$W31,6)=0,$C31,0),IF($D31="Per kwartaal",IF(MOD(8-$W31,3)=0,$C31,0),$F31))))))</f>
        <v/>
      </c>
      <c r="S31" s="107" t="str">
        <f aca="false">IF($C31="","",IF(Dashboard!$C$4="Gemiddeld per maand",$F31,IF(OR($D31="Per maand",$D31="Per week",$D31=""),$F31,IF($D31="Per jaar",IF(9=$W31,$C31,0),IF($D31="Per half jaar",IF(MOD(9-$W31,6)=0,$C31,0),IF($D31="Per kwartaal",IF(MOD(9-$W31,3)=0,$C31,0),$F31))))))</f>
        <v/>
      </c>
      <c r="T31" s="107" t="str">
        <f aca="false">IF($C31="","",IF(Dashboard!$C$4="Gemiddeld per maand",$F31,IF(OR($D31="Per maand",$D31="Per week",$D31=""),$F31,IF($D31="Per jaar",IF(10=$W31,$C31,0),IF($D31="Per half jaar",IF(MOD(10-$W31,6)=0,$C31,0),IF($D31="Per kwartaal",IF(MOD(10-$W31,3)=0,$C31,0),$F31))))))</f>
        <v/>
      </c>
      <c r="U31" s="107" t="str">
        <f aca="false">IF($C31="","",IF(Dashboard!$C$4="Gemiddeld per maand",$F31,IF(OR($D31="Per maand",$D31="Per week",$D31=""),$F31,IF($D31="Per jaar",IF(11=$W31,$C31,0),IF($D31="Per half jaar",IF(MOD(11-$W31,6)=0,$C31,0),IF($D31="Per kwartaal",IF(MOD(11-$W31,3)=0,$C31,0),$F31))))))</f>
        <v/>
      </c>
      <c r="V31" s="107" t="str">
        <f aca="false">IF($C31="","",IF(Dashboard!$C$4="Gemiddeld per maand",$F31,IF(OR($D31="Per maand",$D31="Per week",$D31=""),$F31,IF($D31="Per jaar",IF(12=$W31,$C31,0),IF($D31="Per half jaar",IF(MOD(12-$W31,6)=0,$C31,0),IF($D31="Per kwartaal",IF(MOD(12-$W31,3)=0,$C31,0),$F31))))))</f>
        <v/>
      </c>
      <c r="W31" s="15" t="n">
        <f aca="false">IF($E31="",1,IFERROR(MATCH($E31,Lijsten!$K$6:$K$17,0),1))</f>
        <v>1</v>
      </c>
    </row>
    <row r="32" customFormat="false" ht="15" hidden="false" customHeight="false" outlineLevel="0" collapsed="false">
      <c r="A32" s="102"/>
      <c r="B32" s="102"/>
      <c r="C32" s="92"/>
      <c r="D32" s="102"/>
      <c r="E32" s="103"/>
      <c r="F32" s="104" t="str">
        <f aca="false">IF($C32="","",IF($D32="Per jaar",$C32/12,IF($D32="Per kwartaal",$C32/3,IF($D32="Per half jaar",$C32/6,IF($D32="Per week",$C32*52/12,$C32)))))</f>
        <v/>
      </c>
      <c r="G32" s="102"/>
      <c r="H32" s="103"/>
      <c r="I32" s="105"/>
      <c r="J32" s="106" t="str">
        <f aca="false">IF($C32="","",IF(Dashboard!$C$4="Gemiddeld per maand",$F32,IF(OR($D32="Per maand",$D32="Per week",$D32=""),$F32,IF($D32="Per jaar",IF(Dashboard!$N$2=$W32,$C32,0),IF($D32="Per half jaar",IF(MOD(Dashboard!$N$2-$W32,6)=0,$C32,0),IF($D32="Per kwartaal",IF(MOD(Dashboard!$N$2-$W32,3)=0,$C32,0),$F32))))))</f>
        <v/>
      </c>
      <c r="K32" s="107" t="str">
        <f aca="false">IF($C32="","",IF(Dashboard!$C$4="Gemiddeld per maand",$F32,IF(OR($D32="Per maand",$D32="Per week",$D32=""),$F32,IF($D32="Per jaar",IF(1=$W32,$C32,0),IF($D32="Per half jaar",IF(MOD(1-$W32,6)=0,$C32,0),IF($D32="Per kwartaal",IF(MOD(1-$W32,3)=0,$C32,0),$F32))))))</f>
        <v/>
      </c>
      <c r="L32" s="107" t="str">
        <f aca="false">IF($C32="","",IF(Dashboard!$C$4="Gemiddeld per maand",$F32,IF(OR($D32="Per maand",$D32="Per week",$D32=""),$F32,IF($D32="Per jaar",IF(2=$W32,$C32,0),IF($D32="Per half jaar",IF(MOD(2-$W32,6)=0,$C32,0),IF($D32="Per kwartaal",IF(MOD(2-$W32,3)=0,$C32,0),$F32))))))</f>
        <v/>
      </c>
      <c r="M32" s="107" t="str">
        <f aca="false">IF($C32="","",IF(Dashboard!$C$4="Gemiddeld per maand",$F32,IF(OR($D32="Per maand",$D32="Per week",$D32=""),$F32,IF($D32="Per jaar",IF(3=$W32,$C32,0),IF($D32="Per half jaar",IF(MOD(3-$W32,6)=0,$C32,0),IF($D32="Per kwartaal",IF(MOD(3-$W32,3)=0,$C32,0),$F32))))))</f>
        <v/>
      </c>
      <c r="N32" s="107" t="str">
        <f aca="false">IF($C32="","",IF(Dashboard!$C$4="Gemiddeld per maand",$F32,IF(OR($D32="Per maand",$D32="Per week",$D32=""),$F32,IF($D32="Per jaar",IF(4=$W32,$C32,0),IF($D32="Per half jaar",IF(MOD(4-$W32,6)=0,$C32,0),IF($D32="Per kwartaal",IF(MOD(4-$W32,3)=0,$C32,0),$F32))))))</f>
        <v/>
      </c>
      <c r="O32" s="107" t="str">
        <f aca="false">IF($C32="","",IF(Dashboard!$C$4="Gemiddeld per maand",$F32,IF(OR($D32="Per maand",$D32="Per week",$D32=""),$F32,IF($D32="Per jaar",IF(5=$W32,$C32,0),IF($D32="Per half jaar",IF(MOD(5-$W32,6)=0,$C32,0),IF($D32="Per kwartaal",IF(MOD(5-$W32,3)=0,$C32,0),$F32))))))</f>
        <v/>
      </c>
      <c r="P32" s="107" t="str">
        <f aca="false">IF($C32="","",IF(Dashboard!$C$4="Gemiddeld per maand",$F32,IF(OR($D32="Per maand",$D32="Per week",$D32=""),$F32,IF($D32="Per jaar",IF(6=$W32,$C32,0),IF($D32="Per half jaar",IF(MOD(6-$W32,6)=0,$C32,0),IF($D32="Per kwartaal",IF(MOD(6-$W32,3)=0,$C32,0),$F32))))))</f>
        <v/>
      </c>
      <c r="Q32" s="107" t="str">
        <f aca="false">IF($C32="","",IF(Dashboard!$C$4="Gemiddeld per maand",$F32,IF(OR($D32="Per maand",$D32="Per week",$D32=""),$F32,IF($D32="Per jaar",IF(7=$W32,$C32,0),IF($D32="Per half jaar",IF(MOD(7-$W32,6)=0,$C32,0),IF($D32="Per kwartaal",IF(MOD(7-$W32,3)=0,$C32,0),$F32))))))</f>
        <v/>
      </c>
      <c r="R32" s="107" t="str">
        <f aca="false">IF($C32="","",IF(Dashboard!$C$4="Gemiddeld per maand",$F32,IF(OR($D32="Per maand",$D32="Per week",$D32=""),$F32,IF($D32="Per jaar",IF(8=$W32,$C32,0),IF($D32="Per half jaar",IF(MOD(8-$W32,6)=0,$C32,0),IF($D32="Per kwartaal",IF(MOD(8-$W32,3)=0,$C32,0),$F32))))))</f>
        <v/>
      </c>
      <c r="S32" s="107" t="str">
        <f aca="false">IF($C32="","",IF(Dashboard!$C$4="Gemiddeld per maand",$F32,IF(OR($D32="Per maand",$D32="Per week",$D32=""),$F32,IF($D32="Per jaar",IF(9=$W32,$C32,0),IF($D32="Per half jaar",IF(MOD(9-$W32,6)=0,$C32,0),IF($D32="Per kwartaal",IF(MOD(9-$W32,3)=0,$C32,0),$F32))))))</f>
        <v/>
      </c>
      <c r="T32" s="107" t="str">
        <f aca="false">IF($C32="","",IF(Dashboard!$C$4="Gemiddeld per maand",$F32,IF(OR($D32="Per maand",$D32="Per week",$D32=""),$F32,IF($D32="Per jaar",IF(10=$W32,$C32,0),IF($D32="Per half jaar",IF(MOD(10-$W32,6)=0,$C32,0),IF($D32="Per kwartaal",IF(MOD(10-$W32,3)=0,$C32,0),$F32))))))</f>
        <v/>
      </c>
      <c r="U32" s="107" t="str">
        <f aca="false">IF($C32="","",IF(Dashboard!$C$4="Gemiddeld per maand",$F32,IF(OR($D32="Per maand",$D32="Per week",$D32=""),$F32,IF($D32="Per jaar",IF(11=$W32,$C32,0),IF($D32="Per half jaar",IF(MOD(11-$W32,6)=0,$C32,0),IF($D32="Per kwartaal",IF(MOD(11-$W32,3)=0,$C32,0),$F32))))))</f>
        <v/>
      </c>
      <c r="V32" s="107" t="str">
        <f aca="false">IF($C32="","",IF(Dashboard!$C$4="Gemiddeld per maand",$F32,IF(OR($D32="Per maand",$D32="Per week",$D32=""),$F32,IF($D32="Per jaar",IF(12=$W32,$C32,0),IF($D32="Per half jaar",IF(MOD(12-$W32,6)=0,$C32,0),IF($D32="Per kwartaal",IF(MOD(12-$W32,3)=0,$C32,0),$F32))))))</f>
        <v/>
      </c>
      <c r="W32" s="15" t="n">
        <f aca="false">IF($E32="",1,IFERROR(MATCH($E32,Lijsten!$K$6:$K$17,0),1))</f>
        <v>1</v>
      </c>
    </row>
    <row r="33" customFormat="false" ht="15" hidden="false" customHeight="false" outlineLevel="0" collapsed="false">
      <c r="A33" s="102"/>
      <c r="B33" s="102"/>
      <c r="C33" s="92"/>
      <c r="D33" s="102"/>
      <c r="E33" s="103"/>
      <c r="F33" s="104" t="str">
        <f aca="false">IF($C33="","",IF($D33="Per jaar",$C33/12,IF($D33="Per kwartaal",$C33/3,IF($D33="Per half jaar",$C33/6,IF($D33="Per week",$C33*52/12,$C33)))))</f>
        <v/>
      </c>
      <c r="G33" s="102"/>
      <c r="H33" s="103"/>
      <c r="I33" s="105"/>
      <c r="J33" s="106" t="str">
        <f aca="false">IF($C33="","",IF(Dashboard!$C$4="Gemiddeld per maand",$F33,IF(OR($D33="Per maand",$D33="Per week",$D33=""),$F33,IF($D33="Per jaar",IF(Dashboard!$N$2=$W33,$C33,0),IF($D33="Per half jaar",IF(MOD(Dashboard!$N$2-$W33,6)=0,$C33,0),IF($D33="Per kwartaal",IF(MOD(Dashboard!$N$2-$W33,3)=0,$C33,0),$F33))))))</f>
        <v/>
      </c>
      <c r="K33" s="107" t="str">
        <f aca="false">IF($C33="","",IF(Dashboard!$C$4="Gemiddeld per maand",$F33,IF(OR($D33="Per maand",$D33="Per week",$D33=""),$F33,IF($D33="Per jaar",IF(1=$W33,$C33,0),IF($D33="Per half jaar",IF(MOD(1-$W33,6)=0,$C33,0),IF($D33="Per kwartaal",IF(MOD(1-$W33,3)=0,$C33,0),$F33))))))</f>
        <v/>
      </c>
      <c r="L33" s="107" t="str">
        <f aca="false">IF($C33="","",IF(Dashboard!$C$4="Gemiddeld per maand",$F33,IF(OR($D33="Per maand",$D33="Per week",$D33=""),$F33,IF($D33="Per jaar",IF(2=$W33,$C33,0),IF($D33="Per half jaar",IF(MOD(2-$W33,6)=0,$C33,0),IF($D33="Per kwartaal",IF(MOD(2-$W33,3)=0,$C33,0),$F33))))))</f>
        <v/>
      </c>
      <c r="M33" s="107" t="str">
        <f aca="false">IF($C33="","",IF(Dashboard!$C$4="Gemiddeld per maand",$F33,IF(OR($D33="Per maand",$D33="Per week",$D33=""),$F33,IF($D33="Per jaar",IF(3=$W33,$C33,0),IF($D33="Per half jaar",IF(MOD(3-$W33,6)=0,$C33,0),IF($D33="Per kwartaal",IF(MOD(3-$W33,3)=0,$C33,0),$F33))))))</f>
        <v/>
      </c>
      <c r="N33" s="107" t="str">
        <f aca="false">IF($C33="","",IF(Dashboard!$C$4="Gemiddeld per maand",$F33,IF(OR($D33="Per maand",$D33="Per week",$D33=""),$F33,IF($D33="Per jaar",IF(4=$W33,$C33,0),IF($D33="Per half jaar",IF(MOD(4-$W33,6)=0,$C33,0),IF($D33="Per kwartaal",IF(MOD(4-$W33,3)=0,$C33,0),$F33))))))</f>
        <v/>
      </c>
      <c r="O33" s="107" t="str">
        <f aca="false">IF($C33="","",IF(Dashboard!$C$4="Gemiddeld per maand",$F33,IF(OR($D33="Per maand",$D33="Per week",$D33=""),$F33,IF($D33="Per jaar",IF(5=$W33,$C33,0),IF($D33="Per half jaar",IF(MOD(5-$W33,6)=0,$C33,0),IF($D33="Per kwartaal",IF(MOD(5-$W33,3)=0,$C33,0),$F33))))))</f>
        <v/>
      </c>
      <c r="P33" s="107" t="str">
        <f aca="false">IF($C33="","",IF(Dashboard!$C$4="Gemiddeld per maand",$F33,IF(OR($D33="Per maand",$D33="Per week",$D33=""),$F33,IF($D33="Per jaar",IF(6=$W33,$C33,0),IF($D33="Per half jaar",IF(MOD(6-$W33,6)=0,$C33,0),IF($D33="Per kwartaal",IF(MOD(6-$W33,3)=0,$C33,0),$F33))))))</f>
        <v/>
      </c>
      <c r="Q33" s="107" t="str">
        <f aca="false">IF($C33="","",IF(Dashboard!$C$4="Gemiddeld per maand",$F33,IF(OR($D33="Per maand",$D33="Per week",$D33=""),$F33,IF($D33="Per jaar",IF(7=$W33,$C33,0),IF($D33="Per half jaar",IF(MOD(7-$W33,6)=0,$C33,0),IF($D33="Per kwartaal",IF(MOD(7-$W33,3)=0,$C33,0),$F33))))))</f>
        <v/>
      </c>
      <c r="R33" s="107" t="str">
        <f aca="false">IF($C33="","",IF(Dashboard!$C$4="Gemiddeld per maand",$F33,IF(OR($D33="Per maand",$D33="Per week",$D33=""),$F33,IF($D33="Per jaar",IF(8=$W33,$C33,0),IF($D33="Per half jaar",IF(MOD(8-$W33,6)=0,$C33,0),IF($D33="Per kwartaal",IF(MOD(8-$W33,3)=0,$C33,0),$F33))))))</f>
        <v/>
      </c>
      <c r="S33" s="107" t="str">
        <f aca="false">IF($C33="","",IF(Dashboard!$C$4="Gemiddeld per maand",$F33,IF(OR($D33="Per maand",$D33="Per week",$D33=""),$F33,IF($D33="Per jaar",IF(9=$W33,$C33,0),IF($D33="Per half jaar",IF(MOD(9-$W33,6)=0,$C33,0),IF($D33="Per kwartaal",IF(MOD(9-$W33,3)=0,$C33,0),$F33))))))</f>
        <v/>
      </c>
      <c r="T33" s="107" t="str">
        <f aca="false">IF($C33="","",IF(Dashboard!$C$4="Gemiddeld per maand",$F33,IF(OR($D33="Per maand",$D33="Per week",$D33=""),$F33,IF($D33="Per jaar",IF(10=$W33,$C33,0),IF($D33="Per half jaar",IF(MOD(10-$W33,6)=0,$C33,0),IF($D33="Per kwartaal",IF(MOD(10-$W33,3)=0,$C33,0),$F33))))))</f>
        <v/>
      </c>
      <c r="U33" s="107" t="str">
        <f aca="false">IF($C33="","",IF(Dashboard!$C$4="Gemiddeld per maand",$F33,IF(OR($D33="Per maand",$D33="Per week",$D33=""),$F33,IF($D33="Per jaar",IF(11=$W33,$C33,0),IF($D33="Per half jaar",IF(MOD(11-$W33,6)=0,$C33,0),IF($D33="Per kwartaal",IF(MOD(11-$W33,3)=0,$C33,0),$F33))))))</f>
        <v/>
      </c>
      <c r="V33" s="107" t="str">
        <f aca="false">IF($C33="","",IF(Dashboard!$C$4="Gemiddeld per maand",$F33,IF(OR($D33="Per maand",$D33="Per week",$D33=""),$F33,IF($D33="Per jaar",IF(12=$W33,$C33,0),IF($D33="Per half jaar",IF(MOD(12-$W33,6)=0,$C33,0),IF($D33="Per kwartaal",IF(MOD(12-$W33,3)=0,$C33,0),$F33))))))</f>
        <v/>
      </c>
      <c r="W33" s="15" t="n">
        <f aca="false">IF($E33="",1,IFERROR(MATCH($E33,Lijsten!$K$6:$K$17,0),1))</f>
        <v>1</v>
      </c>
    </row>
    <row r="34" customFormat="false" ht="15" hidden="false" customHeight="false" outlineLevel="0" collapsed="false">
      <c r="A34" s="102"/>
      <c r="B34" s="102"/>
      <c r="C34" s="92"/>
      <c r="D34" s="102"/>
      <c r="E34" s="103"/>
      <c r="F34" s="104" t="str">
        <f aca="false">IF($C34="","",IF($D34="Per jaar",$C34/12,IF($D34="Per kwartaal",$C34/3,IF($D34="Per half jaar",$C34/6,IF($D34="Per week",$C34*52/12,$C34)))))</f>
        <v/>
      </c>
      <c r="G34" s="102"/>
      <c r="H34" s="103"/>
      <c r="I34" s="105"/>
      <c r="J34" s="106" t="str">
        <f aca="false">IF($C34="","",IF(Dashboard!$C$4="Gemiddeld per maand",$F34,IF(OR($D34="Per maand",$D34="Per week",$D34=""),$F34,IF($D34="Per jaar",IF(Dashboard!$N$2=$W34,$C34,0),IF($D34="Per half jaar",IF(MOD(Dashboard!$N$2-$W34,6)=0,$C34,0),IF($D34="Per kwartaal",IF(MOD(Dashboard!$N$2-$W34,3)=0,$C34,0),$F34))))))</f>
        <v/>
      </c>
      <c r="K34" s="107" t="str">
        <f aca="false">IF($C34="","",IF(Dashboard!$C$4="Gemiddeld per maand",$F34,IF(OR($D34="Per maand",$D34="Per week",$D34=""),$F34,IF($D34="Per jaar",IF(1=$W34,$C34,0),IF($D34="Per half jaar",IF(MOD(1-$W34,6)=0,$C34,0),IF($D34="Per kwartaal",IF(MOD(1-$W34,3)=0,$C34,0),$F34))))))</f>
        <v/>
      </c>
      <c r="L34" s="107" t="str">
        <f aca="false">IF($C34="","",IF(Dashboard!$C$4="Gemiddeld per maand",$F34,IF(OR($D34="Per maand",$D34="Per week",$D34=""),$F34,IF($D34="Per jaar",IF(2=$W34,$C34,0),IF($D34="Per half jaar",IF(MOD(2-$W34,6)=0,$C34,0),IF($D34="Per kwartaal",IF(MOD(2-$W34,3)=0,$C34,0),$F34))))))</f>
        <v/>
      </c>
      <c r="M34" s="107" t="str">
        <f aca="false">IF($C34="","",IF(Dashboard!$C$4="Gemiddeld per maand",$F34,IF(OR($D34="Per maand",$D34="Per week",$D34=""),$F34,IF($D34="Per jaar",IF(3=$W34,$C34,0),IF($D34="Per half jaar",IF(MOD(3-$W34,6)=0,$C34,0),IF($D34="Per kwartaal",IF(MOD(3-$W34,3)=0,$C34,0),$F34))))))</f>
        <v/>
      </c>
      <c r="N34" s="107" t="str">
        <f aca="false">IF($C34="","",IF(Dashboard!$C$4="Gemiddeld per maand",$F34,IF(OR($D34="Per maand",$D34="Per week",$D34=""),$F34,IF($D34="Per jaar",IF(4=$W34,$C34,0),IF($D34="Per half jaar",IF(MOD(4-$W34,6)=0,$C34,0),IF($D34="Per kwartaal",IF(MOD(4-$W34,3)=0,$C34,0),$F34))))))</f>
        <v/>
      </c>
      <c r="O34" s="107" t="str">
        <f aca="false">IF($C34="","",IF(Dashboard!$C$4="Gemiddeld per maand",$F34,IF(OR($D34="Per maand",$D34="Per week",$D34=""),$F34,IF($D34="Per jaar",IF(5=$W34,$C34,0),IF($D34="Per half jaar",IF(MOD(5-$W34,6)=0,$C34,0),IF($D34="Per kwartaal",IF(MOD(5-$W34,3)=0,$C34,0),$F34))))))</f>
        <v/>
      </c>
      <c r="P34" s="107" t="str">
        <f aca="false">IF($C34="","",IF(Dashboard!$C$4="Gemiddeld per maand",$F34,IF(OR($D34="Per maand",$D34="Per week",$D34=""),$F34,IF($D34="Per jaar",IF(6=$W34,$C34,0),IF($D34="Per half jaar",IF(MOD(6-$W34,6)=0,$C34,0),IF($D34="Per kwartaal",IF(MOD(6-$W34,3)=0,$C34,0),$F34))))))</f>
        <v/>
      </c>
      <c r="Q34" s="107" t="str">
        <f aca="false">IF($C34="","",IF(Dashboard!$C$4="Gemiddeld per maand",$F34,IF(OR($D34="Per maand",$D34="Per week",$D34=""),$F34,IF($D34="Per jaar",IF(7=$W34,$C34,0),IF($D34="Per half jaar",IF(MOD(7-$W34,6)=0,$C34,0),IF($D34="Per kwartaal",IF(MOD(7-$W34,3)=0,$C34,0),$F34))))))</f>
        <v/>
      </c>
      <c r="R34" s="107" t="str">
        <f aca="false">IF($C34="","",IF(Dashboard!$C$4="Gemiddeld per maand",$F34,IF(OR($D34="Per maand",$D34="Per week",$D34=""),$F34,IF($D34="Per jaar",IF(8=$W34,$C34,0),IF($D34="Per half jaar",IF(MOD(8-$W34,6)=0,$C34,0),IF($D34="Per kwartaal",IF(MOD(8-$W34,3)=0,$C34,0),$F34))))))</f>
        <v/>
      </c>
      <c r="S34" s="107" t="str">
        <f aca="false">IF($C34="","",IF(Dashboard!$C$4="Gemiddeld per maand",$F34,IF(OR($D34="Per maand",$D34="Per week",$D34=""),$F34,IF($D34="Per jaar",IF(9=$W34,$C34,0),IF($D34="Per half jaar",IF(MOD(9-$W34,6)=0,$C34,0),IF($D34="Per kwartaal",IF(MOD(9-$W34,3)=0,$C34,0),$F34))))))</f>
        <v/>
      </c>
      <c r="T34" s="107" t="str">
        <f aca="false">IF($C34="","",IF(Dashboard!$C$4="Gemiddeld per maand",$F34,IF(OR($D34="Per maand",$D34="Per week",$D34=""),$F34,IF($D34="Per jaar",IF(10=$W34,$C34,0),IF($D34="Per half jaar",IF(MOD(10-$W34,6)=0,$C34,0),IF($D34="Per kwartaal",IF(MOD(10-$W34,3)=0,$C34,0),$F34))))))</f>
        <v/>
      </c>
      <c r="U34" s="107" t="str">
        <f aca="false">IF($C34="","",IF(Dashboard!$C$4="Gemiddeld per maand",$F34,IF(OR($D34="Per maand",$D34="Per week",$D34=""),$F34,IF($D34="Per jaar",IF(11=$W34,$C34,0),IF($D34="Per half jaar",IF(MOD(11-$W34,6)=0,$C34,0),IF($D34="Per kwartaal",IF(MOD(11-$W34,3)=0,$C34,0),$F34))))))</f>
        <v/>
      </c>
      <c r="V34" s="107" t="str">
        <f aca="false">IF($C34="","",IF(Dashboard!$C$4="Gemiddeld per maand",$F34,IF(OR($D34="Per maand",$D34="Per week",$D34=""),$F34,IF($D34="Per jaar",IF(12=$W34,$C34,0),IF($D34="Per half jaar",IF(MOD(12-$W34,6)=0,$C34,0),IF($D34="Per kwartaal",IF(MOD(12-$W34,3)=0,$C34,0),$F34))))))</f>
        <v/>
      </c>
      <c r="W34" s="15" t="n">
        <f aca="false">IF($E34="",1,IFERROR(MATCH($E34,Lijsten!$K$6:$K$17,0),1))</f>
        <v>1</v>
      </c>
    </row>
    <row r="35" customFormat="false" ht="15" hidden="false" customHeight="false" outlineLevel="0" collapsed="false">
      <c r="A35" s="102"/>
      <c r="B35" s="102"/>
      <c r="C35" s="92"/>
      <c r="D35" s="102"/>
      <c r="E35" s="103"/>
      <c r="F35" s="104" t="str">
        <f aca="false">IF($C35="","",IF($D35="Per jaar",$C35/12,IF($D35="Per kwartaal",$C35/3,IF($D35="Per half jaar",$C35/6,IF($D35="Per week",$C35*52/12,$C35)))))</f>
        <v/>
      </c>
      <c r="G35" s="102"/>
      <c r="H35" s="103"/>
      <c r="I35" s="105"/>
      <c r="J35" s="106" t="str">
        <f aca="false">IF($C35="","",IF(Dashboard!$C$4="Gemiddeld per maand",$F35,IF(OR($D35="Per maand",$D35="Per week",$D35=""),$F35,IF($D35="Per jaar",IF(Dashboard!$N$2=$W35,$C35,0),IF($D35="Per half jaar",IF(MOD(Dashboard!$N$2-$W35,6)=0,$C35,0),IF($D35="Per kwartaal",IF(MOD(Dashboard!$N$2-$W35,3)=0,$C35,0),$F35))))))</f>
        <v/>
      </c>
      <c r="K35" s="107" t="str">
        <f aca="false">IF($C35="","",IF(Dashboard!$C$4="Gemiddeld per maand",$F35,IF(OR($D35="Per maand",$D35="Per week",$D35=""),$F35,IF($D35="Per jaar",IF(1=$W35,$C35,0),IF($D35="Per half jaar",IF(MOD(1-$W35,6)=0,$C35,0),IF($D35="Per kwartaal",IF(MOD(1-$W35,3)=0,$C35,0),$F35))))))</f>
        <v/>
      </c>
      <c r="L35" s="107" t="str">
        <f aca="false">IF($C35="","",IF(Dashboard!$C$4="Gemiddeld per maand",$F35,IF(OR($D35="Per maand",$D35="Per week",$D35=""),$F35,IF($D35="Per jaar",IF(2=$W35,$C35,0),IF($D35="Per half jaar",IF(MOD(2-$W35,6)=0,$C35,0),IF($D35="Per kwartaal",IF(MOD(2-$W35,3)=0,$C35,0),$F35))))))</f>
        <v/>
      </c>
      <c r="M35" s="107" t="str">
        <f aca="false">IF($C35="","",IF(Dashboard!$C$4="Gemiddeld per maand",$F35,IF(OR($D35="Per maand",$D35="Per week",$D35=""),$F35,IF($D35="Per jaar",IF(3=$W35,$C35,0),IF($D35="Per half jaar",IF(MOD(3-$W35,6)=0,$C35,0),IF($D35="Per kwartaal",IF(MOD(3-$W35,3)=0,$C35,0),$F35))))))</f>
        <v/>
      </c>
      <c r="N35" s="107" t="str">
        <f aca="false">IF($C35="","",IF(Dashboard!$C$4="Gemiddeld per maand",$F35,IF(OR($D35="Per maand",$D35="Per week",$D35=""),$F35,IF($D35="Per jaar",IF(4=$W35,$C35,0),IF($D35="Per half jaar",IF(MOD(4-$W35,6)=0,$C35,0),IF($D35="Per kwartaal",IF(MOD(4-$W35,3)=0,$C35,0),$F35))))))</f>
        <v/>
      </c>
      <c r="O35" s="107" t="str">
        <f aca="false">IF($C35="","",IF(Dashboard!$C$4="Gemiddeld per maand",$F35,IF(OR($D35="Per maand",$D35="Per week",$D35=""),$F35,IF($D35="Per jaar",IF(5=$W35,$C35,0),IF($D35="Per half jaar",IF(MOD(5-$W35,6)=0,$C35,0),IF($D35="Per kwartaal",IF(MOD(5-$W35,3)=0,$C35,0),$F35))))))</f>
        <v/>
      </c>
      <c r="P35" s="107" t="str">
        <f aca="false">IF($C35="","",IF(Dashboard!$C$4="Gemiddeld per maand",$F35,IF(OR($D35="Per maand",$D35="Per week",$D35=""),$F35,IF($D35="Per jaar",IF(6=$W35,$C35,0),IF($D35="Per half jaar",IF(MOD(6-$W35,6)=0,$C35,0),IF($D35="Per kwartaal",IF(MOD(6-$W35,3)=0,$C35,0),$F35))))))</f>
        <v/>
      </c>
      <c r="Q35" s="107" t="str">
        <f aca="false">IF($C35="","",IF(Dashboard!$C$4="Gemiddeld per maand",$F35,IF(OR($D35="Per maand",$D35="Per week",$D35=""),$F35,IF($D35="Per jaar",IF(7=$W35,$C35,0),IF($D35="Per half jaar",IF(MOD(7-$W35,6)=0,$C35,0),IF($D35="Per kwartaal",IF(MOD(7-$W35,3)=0,$C35,0),$F35))))))</f>
        <v/>
      </c>
      <c r="R35" s="107" t="str">
        <f aca="false">IF($C35="","",IF(Dashboard!$C$4="Gemiddeld per maand",$F35,IF(OR($D35="Per maand",$D35="Per week",$D35=""),$F35,IF($D35="Per jaar",IF(8=$W35,$C35,0),IF($D35="Per half jaar",IF(MOD(8-$W35,6)=0,$C35,0),IF($D35="Per kwartaal",IF(MOD(8-$W35,3)=0,$C35,0),$F35))))))</f>
        <v/>
      </c>
      <c r="S35" s="107" t="str">
        <f aca="false">IF($C35="","",IF(Dashboard!$C$4="Gemiddeld per maand",$F35,IF(OR($D35="Per maand",$D35="Per week",$D35=""),$F35,IF($D35="Per jaar",IF(9=$W35,$C35,0),IF($D35="Per half jaar",IF(MOD(9-$W35,6)=0,$C35,0),IF($D35="Per kwartaal",IF(MOD(9-$W35,3)=0,$C35,0),$F35))))))</f>
        <v/>
      </c>
      <c r="T35" s="107" t="str">
        <f aca="false">IF($C35="","",IF(Dashboard!$C$4="Gemiddeld per maand",$F35,IF(OR($D35="Per maand",$D35="Per week",$D35=""),$F35,IF($D35="Per jaar",IF(10=$W35,$C35,0),IF($D35="Per half jaar",IF(MOD(10-$W35,6)=0,$C35,0),IF($D35="Per kwartaal",IF(MOD(10-$W35,3)=0,$C35,0),$F35))))))</f>
        <v/>
      </c>
      <c r="U35" s="107" t="str">
        <f aca="false">IF($C35="","",IF(Dashboard!$C$4="Gemiddeld per maand",$F35,IF(OR($D35="Per maand",$D35="Per week",$D35=""),$F35,IF($D35="Per jaar",IF(11=$W35,$C35,0),IF($D35="Per half jaar",IF(MOD(11-$W35,6)=0,$C35,0),IF($D35="Per kwartaal",IF(MOD(11-$W35,3)=0,$C35,0),$F35))))))</f>
        <v/>
      </c>
      <c r="V35" s="107" t="str">
        <f aca="false">IF($C35="","",IF(Dashboard!$C$4="Gemiddeld per maand",$F35,IF(OR($D35="Per maand",$D35="Per week",$D35=""),$F35,IF($D35="Per jaar",IF(12=$W35,$C35,0),IF($D35="Per half jaar",IF(MOD(12-$W35,6)=0,$C35,0),IF($D35="Per kwartaal",IF(MOD(12-$W35,3)=0,$C35,0),$F35))))))</f>
        <v/>
      </c>
      <c r="W35" s="15" t="n">
        <f aca="false">IF($E35="",1,IFERROR(MATCH($E35,Lijsten!$K$6:$K$17,0),1))</f>
        <v>1</v>
      </c>
    </row>
    <row r="36" customFormat="false" ht="15" hidden="false" customHeight="false" outlineLevel="0" collapsed="false">
      <c r="A36" s="102"/>
      <c r="B36" s="102"/>
      <c r="C36" s="92"/>
      <c r="D36" s="102"/>
      <c r="E36" s="103"/>
      <c r="F36" s="104" t="str">
        <f aca="false">IF($C36="","",IF($D36="Per jaar",$C36/12,IF($D36="Per kwartaal",$C36/3,IF($D36="Per half jaar",$C36/6,IF($D36="Per week",$C36*52/12,$C36)))))</f>
        <v/>
      </c>
      <c r="G36" s="102"/>
      <c r="H36" s="103"/>
      <c r="I36" s="105"/>
      <c r="J36" s="106" t="str">
        <f aca="false">IF($C36="","",IF(Dashboard!$C$4="Gemiddeld per maand",$F36,IF(OR($D36="Per maand",$D36="Per week",$D36=""),$F36,IF($D36="Per jaar",IF(Dashboard!$N$2=$W36,$C36,0),IF($D36="Per half jaar",IF(MOD(Dashboard!$N$2-$W36,6)=0,$C36,0),IF($D36="Per kwartaal",IF(MOD(Dashboard!$N$2-$W36,3)=0,$C36,0),$F36))))))</f>
        <v/>
      </c>
      <c r="K36" s="107" t="str">
        <f aca="false">IF($C36="","",IF(Dashboard!$C$4="Gemiddeld per maand",$F36,IF(OR($D36="Per maand",$D36="Per week",$D36=""),$F36,IF($D36="Per jaar",IF(1=$W36,$C36,0),IF($D36="Per half jaar",IF(MOD(1-$W36,6)=0,$C36,0),IF($D36="Per kwartaal",IF(MOD(1-$W36,3)=0,$C36,0),$F36))))))</f>
        <v/>
      </c>
      <c r="L36" s="107" t="str">
        <f aca="false">IF($C36="","",IF(Dashboard!$C$4="Gemiddeld per maand",$F36,IF(OR($D36="Per maand",$D36="Per week",$D36=""),$F36,IF($D36="Per jaar",IF(2=$W36,$C36,0),IF($D36="Per half jaar",IF(MOD(2-$W36,6)=0,$C36,0),IF($D36="Per kwartaal",IF(MOD(2-$W36,3)=0,$C36,0),$F36))))))</f>
        <v/>
      </c>
      <c r="M36" s="107" t="str">
        <f aca="false">IF($C36="","",IF(Dashboard!$C$4="Gemiddeld per maand",$F36,IF(OR($D36="Per maand",$D36="Per week",$D36=""),$F36,IF($D36="Per jaar",IF(3=$W36,$C36,0),IF($D36="Per half jaar",IF(MOD(3-$W36,6)=0,$C36,0),IF($D36="Per kwartaal",IF(MOD(3-$W36,3)=0,$C36,0),$F36))))))</f>
        <v/>
      </c>
      <c r="N36" s="107" t="str">
        <f aca="false">IF($C36="","",IF(Dashboard!$C$4="Gemiddeld per maand",$F36,IF(OR($D36="Per maand",$D36="Per week",$D36=""),$F36,IF($D36="Per jaar",IF(4=$W36,$C36,0),IF($D36="Per half jaar",IF(MOD(4-$W36,6)=0,$C36,0),IF($D36="Per kwartaal",IF(MOD(4-$W36,3)=0,$C36,0),$F36))))))</f>
        <v/>
      </c>
      <c r="O36" s="107" t="str">
        <f aca="false">IF($C36="","",IF(Dashboard!$C$4="Gemiddeld per maand",$F36,IF(OR($D36="Per maand",$D36="Per week",$D36=""),$F36,IF($D36="Per jaar",IF(5=$W36,$C36,0),IF($D36="Per half jaar",IF(MOD(5-$W36,6)=0,$C36,0),IF($D36="Per kwartaal",IF(MOD(5-$W36,3)=0,$C36,0),$F36))))))</f>
        <v/>
      </c>
      <c r="P36" s="107" t="str">
        <f aca="false">IF($C36="","",IF(Dashboard!$C$4="Gemiddeld per maand",$F36,IF(OR($D36="Per maand",$D36="Per week",$D36=""),$F36,IF($D36="Per jaar",IF(6=$W36,$C36,0),IF($D36="Per half jaar",IF(MOD(6-$W36,6)=0,$C36,0),IF($D36="Per kwartaal",IF(MOD(6-$W36,3)=0,$C36,0),$F36))))))</f>
        <v/>
      </c>
      <c r="Q36" s="107" t="str">
        <f aca="false">IF($C36="","",IF(Dashboard!$C$4="Gemiddeld per maand",$F36,IF(OR($D36="Per maand",$D36="Per week",$D36=""),$F36,IF($D36="Per jaar",IF(7=$W36,$C36,0),IF($D36="Per half jaar",IF(MOD(7-$W36,6)=0,$C36,0),IF($D36="Per kwartaal",IF(MOD(7-$W36,3)=0,$C36,0),$F36))))))</f>
        <v/>
      </c>
      <c r="R36" s="107" t="str">
        <f aca="false">IF($C36="","",IF(Dashboard!$C$4="Gemiddeld per maand",$F36,IF(OR($D36="Per maand",$D36="Per week",$D36=""),$F36,IF($D36="Per jaar",IF(8=$W36,$C36,0),IF($D36="Per half jaar",IF(MOD(8-$W36,6)=0,$C36,0),IF($D36="Per kwartaal",IF(MOD(8-$W36,3)=0,$C36,0),$F36))))))</f>
        <v/>
      </c>
      <c r="S36" s="107" t="str">
        <f aca="false">IF($C36="","",IF(Dashboard!$C$4="Gemiddeld per maand",$F36,IF(OR($D36="Per maand",$D36="Per week",$D36=""),$F36,IF($D36="Per jaar",IF(9=$W36,$C36,0),IF($D36="Per half jaar",IF(MOD(9-$W36,6)=0,$C36,0),IF($D36="Per kwartaal",IF(MOD(9-$W36,3)=0,$C36,0),$F36))))))</f>
        <v/>
      </c>
      <c r="T36" s="107" t="str">
        <f aca="false">IF($C36="","",IF(Dashboard!$C$4="Gemiddeld per maand",$F36,IF(OR($D36="Per maand",$D36="Per week",$D36=""),$F36,IF($D36="Per jaar",IF(10=$W36,$C36,0),IF($D36="Per half jaar",IF(MOD(10-$W36,6)=0,$C36,0),IF($D36="Per kwartaal",IF(MOD(10-$W36,3)=0,$C36,0),$F36))))))</f>
        <v/>
      </c>
      <c r="U36" s="107" t="str">
        <f aca="false">IF($C36="","",IF(Dashboard!$C$4="Gemiddeld per maand",$F36,IF(OR($D36="Per maand",$D36="Per week",$D36=""),$F36,IF($D36="Per jaar",IF(11=$W36,$C36,0),IF($D36="Per half jaar",IF(MOD(11-$W36,6)=0,$C36,0),IF($D36="Per kwartaal",IF(MOD(11-$W36,3)=0,$C36,0),$F36))))))</f>
        <v/>
      </c>
      <c r="V36" s="107" t="str">
        <f aca="false">IF($C36="","",IF(Dashboard!$C$4="Gemiddeld per maand",$F36,IF(OR($D36="Per maand",$D36="Per week",$D36=""),$F36,IF($D36="Per jaar",IF(12=$W36,$C36,0),IF($D36="Per half jaar",IF(MOD(12-$W36,6)=0,$C36,0),IF($D36="Per kwartaal",IF(MOD(12-$W36,3)=0,$C36,0),$F36))))))</f>
        <v/>
      </c>
      <c r="W36" s="15" t="n">
        <f aca="false">IF($E36="",1,IFERROR(MATCH($E36,Lijsten!$K$6:$K$17,0),1))</f>
        <v>1</v>
      </c>
    </row>
    <row r="37" customFormat="false" ht="15" hidden="false" customHeight="false" outlineLevel="0" collapsed="false">
      <c r="A37" s="102"/>
      <c r="B37" s="102"/>
      <c r="C37" s="92"/>
      <c r="D37" s="102"/>
      <c r="E37" s="103"/>
      <c r="F37" s="104" t="str">
        <f aca="false">IF($C37="","",IF($D37="Per jaar",$C37/12,IF($D37="Per kwartaal",$C37/3,IF($D37="Per half jaar",$C37/6,IF($D37="Per week",$C37*52/12,$C37)))))</f>
        <v/>
      </c>
      <c r="G37" s="102"/>
      <c r="H37" s="103"/>
      <c r="I37" s="105"/>
      <c r="J37" s="106" t="str">
        <f aca="false">IF($C37="","",IF(Dashboard!$C$4="Gemiddeld per maand",$F37,IF(OR($D37="Per maand",$D37="Per week",$D37=""),$F37,IF($D37="Per jaar",IF(Dashboard!$N$2=$W37,$C37,0),IF($D37="Per half jaar",IF(MOD(Dashboard!$N$2-$W37,6)=0,$C37,0),IF($D37="Per kwartaal",IF(MOD(Dashboard!$N$2-$W37,3)=0,$C37,0),$F37))))))</f>
        <v/>
      </c>
      <c r="K37" s="107" t="str">
        <f aca="false">IF($C37="","",IF(Dashboard!$C$4="Gemiddeld per maand",$F37,IF(OR($D37="Per maand",$D37="Per week",$D37=""),$F37,IF($D37="Per jaar",IF(1=$W37,$C37,0),IF($D37="Per half jaar",IF(MOD(1-$W37,6)=0,$C37,0),IF($D37="Per kwartaal",IF(MOD(1-$W37,3)=0,$C37,0),$F37))))))</f>
        <v/>
      </c>
      <c r="L37" s="107" t="str">
        <f aca="false">IF($C37="","",IF(Dashboard!$C$4="Gemiddeld per maand",$F37,IF(OR($D37="Per maand",$D37="Per week",$D37=""),$F37,IF($D37="Per jaar",IF(2=$W37,$C37,0),IF($D37="Per half jaar",IF(MOD(2-$W37,6)=0,$C37,0),IF($D37="Per kwartaal",IF(MOD(2-$W37,3)=0,$C37,0),$F37))))))</f>
        <v/>
      </c>
      <c r="M37" s="107" t="str">
        <f aca="false">IF($C37="","",IF(Dashboard!$C$4="Gemiddeld per maand",$F37,IF(OR($D37="Per maand",$D37="Per week",$D37=""),$F37,IF($D37="Per jaar",IF(3=$W37,$C37,0),IF($D37="Per half jaar",IF(MOD(3-$W37,6)=0,$C37,0),IF($D37="Per kwartaal",IF(MOD(3-$W37,3)=0,$C37,0),$F37))))))</f>
        <v/>
      </c>
      <c r="N37" s="107" t="str">
        <f aca="false">IF($C37="","",IF(Dashboard!$C$4="Gemiddeld per maand",$F37,IF(OR($D37="Per maand",$D37="Per week",$D37=""),$F37,IF($D37="Per jaar",IF(4=$W37,$C37,0),IF($D37="Per half jaar",IF(MOD(4-$W37,6)=0,$C37,0),IF($D37="Per kwartaal",IF(MOD(4-$W37,3)=0,$C37,0),$F37))))))</f>
        <v/>
      </c>
      <c r="O37" s="107" t="str">
        <f aca="false">IF($C37="","",IF(Dashboard!$C$4="Gemiddeld per maand",$F37,IF(OR($D37="Per maand",$D37="Per week",$D37=""),$F37,IF($D37="Per jaar",IF(5=$W37,$C37,0),IF($D37="Per half jaar",IF(MOD(5-$W37,6)=0,$C37,0),IF($D37="Per kwartaal",IF(MOD(5-$W37,3)=0,$C37,0),$F37))))))</f>
        <v/>
      </c>
      <c r="P37" s="107" t="str">
        <f aca="false">IF($C37="","",IF(Dashboard!$C$4="Gemiddeld per maand",$F37,IF(OR($D37="Per maand",$D37="Per week",$D37=""),$F37,IF($D37="Per jaar",IF(6=$W37,$C37,0),IF($D37="Per half jaar",IF(MOD(6-$W37,6)=0,$C37,0),IF($D37="Per kwartaal",IF(MOD(6-$W37,3)=0,$C37,0),$F37))))))</f>
        <v/>
      </c>
      <c r="Q37" s="107" t="str">
        <f aca="false">IF($C37="","",IF(Dashboard!$C$4="Gemiddeld per maand",$F37,IF(OR($D37="Per maand",$D37="Per week",$D37=""),$F37,IF($D37="Per jaar",IF(7=$W37,$C37,0),IF($D37="Per half jaar",IF(MOD(7-$W37,6)=0,$C37,0),IF($D37="Per kwartaal",IF(MOD(7-$W37,3)=0,$C37,0),$F37))))))</f>
        <v/>
      </c>
      <c r="R37" s="107" t="str">
        <f aca="false">IF($C37="","",IF(Dashboard!$C$4="Gemiddeld per maand",$F37,IF(OR($D37="Per maand",$D37="Per week",$D37=""),$F37,IF($D37="Per jaar",IF(8=$W37,$C37,0),IF($D37="Per half jaar",IF(MOD(8-$W37,6)=0,$C37,0),IF($D37="Per kwartaal",IF(MOD(8-$W37,3)=0,$C37,0),$F37))))))</f>
        <v/>
      </c>
      <c r="S37" s="107" t="str">
        <f aca="false">IF($C37="","",IF(Dashboard!$C$4="Gemiddeld per maand",$F37,IF(OR($D37="Per maand",$D37="Per week",$D37=""),$F37,IF($D37="Per jaar",IF(9=$W37,$C37,0),IF($D37="Per half jaar",IF(MOD(9-$W37,6)=0,$C37,0),IF($D37="Per kwartaal",IF(MOD(9-$W37,3)=0,$C37,0),$F37))))))</f>
        <v/>
      </c>
      <c r="T37" s="107" t="str">
        <f aca="false">IF($C37="","",IF(Dashboard!$C$4="Gemiddeld per maand",$F37,IF(OR($D37="Per maand",$D37="Per week",$D37=""),$F37,IF($D37="Per jaar",IF(10=$W37,$C37,0),IF($D37="Per half jaar",IF(MOD(10-$W37,6)=0,$C37,0),IF($D37="Per kwartaal",IF(MOD(10-$W37,3)=0,$C37,0),$F37))))))</f>
        <v/>
      </c>
      <c r="U37" s="107" t="str">
        <f aca="false">IF($C37="","",IF(Dashboard!$C$4="Gemiddeld per maand",$F37,IF(OR($D37="Per maand",$D37="Per week",$D37=""),$F37,IF($D37="Per jaar",IF(11=$W37,$C37,0),IF($D37="Per half jaar",IF(MOD(11-$W37,6)=0,$C37,0),IF($D37="Per kwartaal",IF(MOD(11-$W37,3)=0,$C37,0),$F37))))))</f>
        <v/>
      </c>
      <c r="V37" s="107" t="str">
        <f aca="false">IF($C37="","",IF(Dashboard!$C$4="Gemiddeld per maand",$F37,IF(OR($D37="Per maand",$D37="Per week",$D37=""),$F37,IF($D37="Per jaar",IF(12=$W37,$C37,0),IF($D37="Per half jaar",IF(MOD(12-$W37,6)=0,$C37,0),IF($D37="Per kwartaal",IF(MOD(12-$W37,3)=0,$C37,0),$F37))))))</f>
        <v/>
      </c>
      <c r="W37" s="15" t="n">
        <f aca="false">IF($E37="",1,IFERROR(MATCH($E37,Lijsten!$K$6:$K$17,0),1))</f>
        <v>1</v>
      </c>
    </row>
  </sheetData>
  <autoFilter ref="A7:J37"/>
  <dataValidations count="4">
    <dataValidation allowBlank="true" errorStyle="stop" operator="between" showDropDown="false" showErrorMessage="false" showInputMessage="false" sqref="G8:G37" type="list">
      <formula1>Lijsten!$A$6:$A$12</formula1>
      <formula2>0</formula2>
    </dataValidation>
    <dataValidation allowBlank="true" errorStyle="stop" operator="between" showDropDown="false" showErrorMessage="false" showInputMessage="false" sqref="D8:D37" type="list">
      <formula1>Lijsten!$M$6:$M$10</formula1>
      <formula2>0</formula2>
    </dataValidation>
    <dataValidation allowBlank="true" errorStyle="stop" operator="between" showDropDown="false" showErrorMessage="false" showInputMessage="false" sqref="E8:E37" type="list">
      <formula1>Lijsten!$K$6:$K$17</formula1>
      <formula2>0</formula2>
    </dataValidation>
    <dataValidation allowBlank="true" errorStyle="stop" operator="between" showDropDown="false" showErrorMessage="false" showInputMessage="false" sqref="H8:H37" type="list">
      <formula1>"Ja,Nee"</formula1>
      <formula2>0</formula2>
    </dataValidation>
  </dataValidations>
  <hyperlinks>
    <hyperlink ref="F1" location="'Start'!A1" display="⌂  Menu"/>
    <hyperlink ref="G1" location="'Dashboard'!A1" display="Dashboard ▸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D28D9"/>
    <pageSetUpPr fitToPage="false"/>
  </sheetPr>
  <dimension ref="A1:K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17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24"/>
    <col collapsed="false" customWidth="true" hidden="false" outlineLevel="0" max="7" min="7" style="0" width="9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11"/>
    <col collapsed="false" customWidth="true" hidden="false" outlineLevel="0" max="11" min="11" style="0" width="30"/>
  </cols>
  <sheetData>
    <row r="1" customFormat="false" ht="19.7" hidden="false" customHeight="false" outlineLevel="0" collapsed="false">
      <c r="A1" s="95" t="s">
        <v>19</v>
      </c>
      <c r="E1" s="32" t="s">
        <v>36</v>
      </c>
      <c r="F1" s="77" t="s">
        <v>82</v>
      </c>
    </row>
    <row r="2" customFormat="false" ht="15" hidden="false" customHeight="false" outlineLevel="0" collapsed="false">
      <c r="A2" s="15" t="s">
        <v>138</v>
      </c>
    </row>
    <row r="3" customFormat="false" ht="15" hidden="false" customHeight="false" outlineLevel="0" collapsed="false">
      <c r="A3" s="12" t="s">
        <v>139</v>
      </c>
    </row>
    <row r="5" customFormat="false" ht="16.15" hidden="false" customHeight="false" outlineLevel="0" collapsed="false">
      <c r="A5" s="34" t="s">
        <v>65</v>
      </c>
      <c r="C5" s="108" t="n">
        <f aca="false">SUMIFS($C$8:$C$37,$G$8:$G$37,"Ja")</f>
        <v>15000</v>
      </c>
      <c r="D5" s="34" t="s">
        <v>66</v>
      </c>
      <c r="E5" s="108" t="n">
        <f aca="false">SUMIFS($E$8:$E$37,$G$8:$G$37,"Ja")</f>
        <v>190</v>
      </c>
      <c r="F5" s="34" t="s">
        <v>67</v>
      </c>
      <c r="H5" s="109" t="n">
        <f aca="false">IFERROR(IF(MAX($I$8:$I$37)=0,"",MAX($I$8:$I$37)),"")</f>
        <v>48907</v>
      </c>
    </row>
    <row r="7" customFormat="false" ht="15" hidden="false" customHeight="false" outlineLevel="0" collapsed="false">
      <c r="A7" s="99" t="s">
        <v>140</v>
      </c>
      <c r="B7" s="99" t="s">
        <v>141</v>
      </c>
      <c r="C7" s="99" t="s">
        <v>142</v>
      </c>
      <c r="D7" s="99" t="s">
        <v>143</v>
      </c>
      <c r="E7" s="99" t="s">
        <v>144</v>
      </c>
      <c r="F7" s="99" t="s">
        <v>85</v>
      </c>
      <c r="G7" s="99" t="s">
        <v>106</v>
      </c>
      <c r="H7" s="99" t="s">
        <v>145</v>
      </c>
      <c r="I7" s="99" t="s">
        <v>146</v>
      </c>
      <c r="J7" s="99" t="s">
        <v>147</v>
      </c>
      <c r="K7" s="99" t="s">
        <v>107</v>
      </c>
    </row>
    <row r="8" customFormat="false" ht="15" hidden="false" customHeight="false" outlineLevel="0" collapsed="false">
      <c r="A8" s="102" t="s">
        <v>148</v>
      </c>
      <c r="B8" s="102" t="s">
        <v>149</v>
      </c>
      <c r="C8" s="92" t="n">
        <v>15000</v>
      </c>
      <c r="D8" s="110" t="n">
        <v>2.5</v>
      </c>
      <c r="E8" s="92" t="n">
        <v>190</v>
      </c>
      <c r="F8" s="102" t="s">
        <v>150</v>
      </c>
      <c r="G8" s="103" t="s">
        <v>125</v>
      </c>
      <c r="H8" s="111" t="n">
        <f aca="false">IF(OR($C8="",$E8="",$E8=0),"",IFERROR(ROUNDUP(NPER(IF($D8="",0,$D8/100/12),-$E8,$C8),0),"termijn te laag"))</f>
        <v>87</v>
      </c>
      <c r="I8" s="112" t="n">
        <f aca="true">IF(OR($H8="",ISTEXT($H8)),"",EDATE(TODAY(),$H8))</f>
        <v>48907</v>
      </c>
      <c r="J8" s="113" t="n">
        <f aca="false">IF($C8="","",RANK(IF($D8="",0,$D8),$D$8:$D$37,0))</f>
        <v>1</v>
      </c>
      <c r="K8" s="105" t="s">
        <v>151</v>
      </c>
    </row>
    <row r="9" customFormat="false" ht="15" hidden="false" customHeight="false" outlineLevel="0" collapsed="false">
      <c r="A9" s="102"/>
      <c r="B9" s="102"/>
      <c r="C9" s="92"/>
      <c r="D9" s="110"/>
      <c r="E9" s="92"/>
      <c r="F9" s="102"/>
      <c r="G9" s="103"/>
      <c r="H9" s="111" t="str">
        <f aca="false">IF(OR($C9="",$E9="",$E9=0),"",IFERROR(ROUNDUP(NPER(IF($D9="",0,$D9/100/12),-$E9,$C9),0),"termijn te laag"))</f>
        <v/>
      </c>
      <c r="I9" s="112" t="str">
        <f aca="true">IF(OR($H9="",ISTEXT($H9)),"",EDATE(TODAY(),$H9))</f>
        <v/>
      </c>
      <c r="J9" s="113" t="str">
        <f aca="false">IF($C9="","",RANK(IF($D9="",0,$D9),$D$8:$D$37,0))</f>
        <v/>
      </c>
      <c r="K9" s="105"/>
    </row>
    <row r="10" customFormat="false" ht="15" hidden="false" customHeight="false" outlineLevel="0" collapsed="false">
      <c r="A10" s="102"/>
      <c r="B10" s="102"/>
      <c r="C10" s="92"/>
      <c r="D10" s="110"/>
      <c r="E10" s="92"/>
      <c r="F10" s="102"/>
      <c r="G10" s="103"/>
      <c r="H10" s="111" t="str">
        <f aca="false">IF(OR($C10="",$E10="",$E10=0),"",IFERROR(ROUNDUP(NPER(IF($D10="",0,$D10/100/12),-$E10,$C10),0),"termijn te laag"))</f>
        <v/>
      </c>
      <c r="I10" s="112" t="str">
        <f aca="true">IF(OR($H10="",ISTEXT($H10)),"",EDATE(TODAY(),$H10))</f>
        <v/>
      </c>
      <c r="J10" s="113" t="str">
        <f aca="false">IF($C10="","",RANK(IF($D10="",0,$D10),$D$8:$D$37,0))</f>
        <v/>
      </c>
      <c r="K10" s="105"/>
    </row>
    <row r="11" customFormat="false" ht="15" hidden="false" customHeight="false" outlineLevel="0" collapsed="false">
      <c r="A11" s="102"/>
      <c r="B11" s="102"/>
      <c r="C11" s="92"/>
      <c r="D11" s="110"/>
      <c r="E11" s="92"/>
      <c r="F11" s="102"/>
      <c r="G11" s="103"/>
      <c r="H11" s="111" t="str">
        <f aca="false">IF(OR($C11="",$E11="",$E11=0),"",IFERROR(ROUNDUP(NPER(IF($D11="",0,$D11/100/12),-$E11,$C11),0),"termijn te laag"))</f>
        <v/>
      </c>
      <c r="I11" s="112" t="str">
        <f aca="true">IF(OR($H11="",ISTEXT($H11)),"",EDATE(TODAY(),$H11))</f>
        <v/>
      </c>
      <c r="J11" s="113" t="str">
        <f aca="false">IF($C11="","",RANK(IF($D11="",0,$D11),$D$8:$D$37,0))</f>
        <v/>
      </c>
      <c r="K11" s="105"/>
    </row>
    <row r="12" customFormat="false" ht="15" hidden="false" customHeight="false" outlineLevel="0" collapsed="false">
      <c r="A12" s="102"/>
      <c r="B12" s="102"/>
      <c r="C12" s="92"/>
      <c r="D12" s="110"/>
      <c r="E12" s="92"/>
      <c r="F12" s="102"/>
      <c r="G12" s="103"/>
      <c r="H12" s="111" t="str">
        <f aca="false">IF(OR($C12="",$E12="",$E12=0),"",IFERROR(ROUNDUP(NPER(IF($D12="",0,$D12/100/12),-$E12,$C12),0),"termijn te laag"))</f>
        <v/>
      </c>
      <c r="I12" s="112" t="str">
        <f aca="true">IF(OR($H12="",ISTEXT($H12)),"",EDATE(TODAY(),$H12))</f>
        <v/>
      </c>
      <c r="J12" s="113" t="str">
        <f aca="false">IF($C12="","",RANK(IF($D12="",0,$D12),$D$8:$D$37,0))</f>
        <v/>
      </c>
      <c r="K12" s="105"/>
    </row>
    <row r="13" customFormat="false" ht="15" hidden="false" customHeight="false" outlineLevel="0" collapsed="false">
      <c r="A13" s="102"/>
      <c r="B13" s="102"/>
      <c r="C13" s="92"/>
      <c r="D13" s="110"/>
      <c r="E13" s="92"/>
      <c r="F13" s="102"/>
      <c r="G13" s="103"/>
      <c r="H13" s="111" t="str">
        <f aca="false">IF(OR($C13="",$E13="",$E13=0),"",IFERROR(ROUNDUP(NPER(IF($D13="",0,$D13/100/12),-$E13,$C13),0),"termijn te laag"))</f>
        <v/>
      </c>
      <c r="I13" s="112" t="str">
        <f aca="true">IF(OR($H13="",ISTEXT($H13)),"",EDATE(TODAY(),$H13))</f>
        <v/>
      </c>
      <c r="J13" s="113" t="str">
        <f aca="false">IF($C13="","",RANK(IF($D13="",0,$D13),$D$8:$D$37,0))</f>
        <v/>
      </c>
      <c r="K13" s="105"/>
    </row>
    <row r="14" customFormat="false" ht="15" hidden="false" customHeight="false" outlineLevel="0" collapsed="false">
      <c r="A14" s="102"/>
      <c r="B14" s="102"/>
      <c r="C14" s="92"/>
      <c r="D14" s="110"/>
      <c r="E14" s="92"/>
      <c r="F14" s="102"/>
      <c r="G14" s="103"/>
      <c r="H14" s="111" t="str">
        <f aca="false">IF(OR($C14="",$E14="",$E14=0),"",IFERROR(ROUNDUP(NPER(IF($D14="",0,$D14/100/12),-$E14,$C14),0),"termijn te laag"))</f>
        <v/>
      </c>
      <c r="I14" s="112" t="str">
        <f aca="true">IF(OR($H14="",ISTEXT($H14)),"",EDATE(TODAY(),$H14))</f>
        <v/>
      </c>
      <c r="J14" s="113" t="str">
        <f aca="false">IF($C14="","",RANK(IF($D14="",0,$D14),$D$8:$D$37,0))</f>
        <v/>
      </c>
      <c r="K14" s="105"/>
    </row>
    <row r="15" customFormat="false" ht="15" hidden="false" customHeight="false" outlineLevel="0" collapsed="false">
      <c r="A15" s="102"/>
      <c r="B15" s="102"/>
      <c r="C15" s="92"/>
      <c r="D15" s="110"/>
      <c r="E15" s="92"/>
      <c r="F15" s="102"/>
      <c r="G15" s="103"/>
      <c r="H15" s="111" t="str">
        <f aca="false">IF(OR($C15="",$E15="",$E15=0),"",IFERROR(ROUNDUP(NPER(IF($D15="",0,$D15/100/12),-$E15,$C15),0),"termijn te laag"))</f>
        <v/>
      </c>
      <c r="I15" s="112" t="str">
        <f aca="true">IF(OR($H15="",ISTEXT($H15)),"",EDATE(TODAY(),$H15))</f>
        <v/>
      </c>
      <c r="J15" s="113" t="str">
        <f aca="false">IF($C15="","",RANK(IF($D15="",0,$D15),$D$8:$D$37,0))</f>
        <v/>
      </c>
      <c r="K15" s="105"/>
    </row>
    <row r="16" customFormat="false" ht="15" hidden="false" customHeight="false" outlineLevel="0" collapsed="false">
      <c r="A16" s="102"/>
      <c r="B16" s="102"/>
      <c r="C16" s="92"/>
      <c r="D16" s="110"/>
      <c r="E16" s="92"/>
      <c r="F16" s="102"/>
      <c r="G16" s="103"/>
      <c r="H16" s="111" t="str">
        <f aca="false">IF(OR($C16="",$E16="",$E16=0),"",IFERROR(ROUNDUP(NPER(IF($D16="",0,$D16/100/12),-$E16,$C16),0),"termijn te laag"))</f>
        <v/>
      </c>
      <c r="I16" s="112" t="str">
        <f aca="true">IF(OR($H16="",ISTEXT($H16)),"",EDATE(TODAY(),$H16))</f>
        <v/>
      </c>
      <c r="J16" s="113" t="str">
        <f aca="false">IF($C16="","",RANK(IF($D16="",0,$D16),$D$8:$D$37,0))</f>
        <v/>
      </c>
      <c r="K16" s="105"/>
    </row>
    <row r="17" customFormat="false" ht="15" hidden="false" customHeight="false" outlineLevel="0" collapsed="false">
      <c r="A17" s="102"/>
      <c r="B17" s="102"/>
      <c r="C17" s="92"/>
      <c r="D17" s="110"/>
      <c r="E17" s="92"/>
      <c r="F17" s="102"/>
      <c r="G17" s="103"/>
      <c r="H17" s="111" t="str">
        <f aca="false">IF(OR($C17="",$E17="",$E17=0),"",IFERROR(ROUNDUP(NPER(IF($D17="",0,$D17/100/12),-$E17,$C17),0),"termijn te laag"))</f>
        <v/>
      </c>
      <c r="I17" s="112" t="str">
        <f aca="true">IF(OR($H17="",ISTEXT($H17)),"",EDATE(TODAY(),$H17))</f>
        <v/>
      </c>
      <c r="J17" s="113" t="str">
        <f aca="false">IF($C17="","",RANK(IF($D17="",0,$D17),$D$8:$D$37,0))</f>
        <v/>
      </c>
      <c r="K17" s="105"/>
    </row>
    <row r="18" customFormat="false" ht="15" hidden="false" customHeight="false" outlineLevel="0" collapsed="false">
      <c r="A18" s="102"/>
      <c r="B18" s="102"/>
      <c r="C18" s="92"/>
      <c r="D18" s="110"/>
      <c r="E18" s="92"/>
      <c r="F18" s="102"/>
      <c r="G18" s="103"/>
      <c r="H18" s="111" t="str">
        <f aca="false">IF(OR($C18="",$E18="",$E18=0),"",IFERROR(ROUNDUP(NPER(IF($D18="",0,$D18/100/12),-$E18,$C18),0),"termijn te laag"))</f>
        <v/>
      </c>
      <c r="I18" s="112" t="str">
        <f aca="true">IF(OR($H18="",ISTEXT($H18)),"",EDATE(TODAY(),$H18))</f>
        <v/>
      </c>
      <c r="J18" s="113" t="str">
        <f aca="false">IF($C18="","",RANK(IF($D18="",0,$D18),$D$8:$D$37,0))</f>
        <v/>
      </c>
      <c r="K18" s="105"/>
    </row>
    <row r="19" customFormat="false" ht="15" hidden="false" customHeight="false" outlineLevel="0" collapsed="false">
      <c r="A19" s="102"/>
      <c r="B19" s="102"/>
      <c r="C19" s="92"/>
      <c r="D19" s="110"/>
      <c r="E19" s="92"/>
      <c r="F19" s="102"/>
      <c r="G19" s="103"/>
      <c r="H19" s="111" t="str">
        <f aca="false">IF(OR($C19="",$E19="",$E19=0),"",IFERROR(ROUNDUP(NPER(IF($D19="",0,$D19/100/12),-$E19,$C19),0),"termijn te laag"))</f>
        <v/>
      </c>
      <c r="I19" s="112" t="str">
        <f aca="true">IF(OR($H19="",ISTEXT($H19)),"",EDATE(TODAY(),$H19))</f>
        <v/>
      </c>
      <c r="J19" s="113" t="str">
        <f aca="false">IF($C19="","",RANK(IF($D19="",0,$D19),$D$8:$D$37,0))</f>
        <v/>
      </c>
      <c r="K19" s="105"/>
    </row>
    <row r="20" customFormat="false" ht="15" hidden="false" customHeight="false" outlineLevel="0" collapsed="false">
      <c r="A20" s="102"/>
      <c r="B20" s="102"/>
      <c r="C20" s="92"/>
      <c r="D20" s="110"/>
      <c r="E20" s="92"/>
      <c r="F20" s="102"/>
      <c r="G20" s="103"/>
      <c r="H20" s="111" t="str">
        <f aca="false">IF(OR($C20="",$E20="",$E20=0),"",IFERROR(ROUNDUP(NPER(IF($D20="",0,$D20/100/12),-$E20,$C20),0),"termijn te laag"))</f>
        <v/>
      </c>
      <c r="I20" s="112" t="str">
        <f aca="true">IF(OR($H20="",ISTEXT($H20)),"",EDATE(TODAY(),$H20))</f>
        <v/>
      </c>
      <c r="J20" s="113" t="str">
        <f aca="false">IF($C20="","",RANK(IF($D20="",0,$D20),$D$8:$D$37,0))</f>
        <v/>
      </c>
      <c r="K20" s="105"/>
    </row>
    <row r="21" customFormat="false" ht="15" hidden="false" customHeight="false" outlineLevel="0" collapsed="false">
      <c r="A21" s="102"/>
      <c r="B21" s="102"/>
      <c r="C21" s="92"/>
      <c r="D21" s="110"/>
      <c r="E21" s="92"/>
      <c r="F21" s="102"/>
      <c r="G21" s="103"/>
      <c r="H21" s="111" t="str">
        <f aca="false">IF(OR($C21="",$E21="",$E21=0),"",IFERROR(ROUNDUP(NPER(IF($D21="",0,$D21/100/12),-$E21,$C21),0),"termijn te laag"))</f>
        <v/>
      </c>
      <c r="I21" s="112" t="str">
        <f aca="true">IF(OR($H21="",ISTEXT($H21)),"",EDATE(TODAY(),$H21))</f>
        <v/>
      </c>
      <c r="J21" s="113" t="str">
        <f aca="false">IF($C21="","",RANK(IF($D21="",0,$D21),$D$8:$D$37,0))</f>
        <v/>
      </c>
      <c r="K21" s="105"/>
    </row>
    <row r="22" customFormat="false" ht="15" hidden="false" customHeight="false" outlineLevel="0" collapsed="false">
      <c r="A22" s="102"/>
      <c r="B22" s="102"/>
      <c r="C22" s="92"/>
      <c r="D22" s="110"/>
      <c r="E22" s="92"/>
      <c r="F22" s="102"/>
      <c r="G22" s="103"/>
      <c r="H22" s="111" t="str">
        <f aca="false">IF(OR($C22="",$E22="",$E22=0),"",IFERROR(ROUNDUP(NPER(IF($D22="",0,$D22/100/12),-$E22,$C22),0),"termijn te laag"))</f>
        <v/>
      </c>
      <c r="I22" s="112" t="str">
        <f aca="true">IF(OR($H22="",ISTEXT($H22)),"",EDATE(TODAY(),$H22))</f>
        <v/>
      </c>
      <c r="J22" s="113" t="str">
        <f aca="false">IF($C22="","",RANK(IF($D22="",0,$D22),$D$8:$D$37,0))</f>
        <v/>
      </c>
      <c r="K22" s="105"/>
    </row>
    <row r="23" customFormat="false" ht="15" hidden="false" customHeight="false" outlineLevel="0" collapsed="false">
      <c r="A23" s="102"/>
      <c r="B23" s="102"/>
      <c r="C23" s="92"/>
      <c r="D23" s="110"/>
      <c r="E23" s="92"/>
      <c r="F23" s="102"/>
      <c r="G23" s="103"/>
      <c r="H23" s="111" t="str">
        <f aca="false">IF(OR($C23="",$E23="",$E23=0),"",IFERROR(ROUNDUP(NPER(IF($D23="",0,$D23/100/12),-$E23,$C23),0),"termijn te laag"))</f>
        <v/>
      </c>
      <c r="I23" s="112" t="str">
        <f aca="true">IF(OR($H23="",ISTEXT($H23)),"",EDATE(TODAY(),$H23))</f>
        <v/>
      </c>
      <c r="J23" s="113" t="str">
        <f aca="false">IF($C23="","",RANK(IF($D23="",0,$D23),$D$8:$D$37,0))</f>
        <v/>
      </c>
      <c r="K23" s="105"/>
    </row>
    <row r="24" customFormat="false" ht="15" hidden="false" customHeight="false" outlineLevel="0" collapsed="false">
      <c r="A24" s="102"/>
      <c r="B24" s="102"/>
      <c r="C24" s="92"/>
      <c r="D24" s="110"/>
      <c r="E24" s="92"/>
      <c r="F24" s="102"/>
      <c r="G24" s="103"/>
      <c r="H24" s="111" t="str">
        <f aca="false">IF(OR($C24="",$E24="",$E24=0),"",IFERROR(ROUNDUP(NPER(IF($D24="",0,$D24/100/12),-$E24,$C24),0),"termijn te laag"))</f>
        <v/>
      </c>
      <c r="I24" s="112" t="str">
        <f aca="true">IF(OR($H24="",ISTEXT($H24)),"",EDATE(TODAY(),$H24))</f>
        <v/>
      </c>
      <c r="J24" s="113" t="str">
        <f aca="false">IF($C24="","",RANK(IF($D24="",0,$D24),$D$8:$D$37,0))</f>
        <v/>
      </c>
      <c r="K24" s="105"/>
    </row>
    <row r="25" customFormat="false" ht="15" hidden="false" customHeight="false" outlineLevel="0" collapsed="false">
      <c r="A25" s="102"/>
      <c r="B25" s="102"/>
      <c r="C25" s="92"/>
      <c r="D25" s="110"/>
      <c r="E25" s="92"/>
      <c r="F25" s="102"/>
      <c r="G25" s="103"/>
      <c r="H25" s="111" t="str">
        <f aca="false">IF(OR($C25="",$E25="",$E25=0),"",IFERROR(ROUNDUP(NPER(IF($D25="",0,$D25/100/12),-$E25,$C25),0),"termijn te laag"))</f>
        <v/>
      </c>
      <c r="I25" s="112" t="str">
        <f aca="true">IF(OR($H25="",ISTEXT($H25)),"",EDATE(TODAY(),$H25))</f>
        <v/>
      </c>
      <c r="J25" s="113" t="str">
        <f aca="false">IF($C25="","",RANK(IF($D25="",0,$D25),$D$8:$D$37,0))</f>
        <v/>
      </c>
      <c r="K25" s="105"/>
    </row>
    <row r="26" customFormat="false" ht="15" hidden="false" customHeight="false" outlineLevel="0" collapsed="false">
      <c r="A26" s="102"/>
      <c r="B26" s="102"/>
      <c r="C26" s="92"/>
      <c r="D26" s="110"/>
      <c r="E26" s="92"/>
      <c r="F26" s="102"/>
      <c r="G26" s="103"/>
      <c r="H26" s="111" t="str">
        <f aca="false">IF(OR($C26="",$E26="",$E26=0),"",IFERROR(ROUNDUP(NPER(IF($D26="",0,$D26/100/12),-$E26,$C26),0),"termijn te laag"))</f>
        <v/>
      </c>
      <c r="I26" s="112" t="str">
        <f aca="true">IF(OR($H26="",ISTEXT($H26)),"",EDATE(TODAY(),$H26))</f>
        <v/>
      </c>
      <c r="J26" s="113" t="str">
        <f aca="false">IF($C26="","",RANK(IF($D26="",0,$D26),$D$8:$D$37,0))</f>
        <v/>
      </c>
      <c r="K26" s="105"/>
    </row>
    <row r="27" customFormat="false" ht="15" hidden="false" customHeight="false" outlineLevel="0" collapsed="false">
      <c r="A27" s="102"/>
      <c r="B27" s="102"/>
      <c r="C27" s="92"/>
      <c r="D27" s="110"/>
      <c r="E27" s="92"/>
      <c r="F27" s="102"/>
      <c r="G27" s="103"/>
      <c r="H27" s="111" t="str">
        <f aca="false">IF(OR($C27="",$E27="",$E27=0),"",IFERROR(ROUNDUP(NPER(IF($D27="",0,$D27/100/12),-$E27,$C27),0),"termijn te laag"))</f>
        <v/>
      </c>
      <c r="I27" s="112" t="str">
        <f aca="true">IF(OR($H27="",ISTEXT($H27)),"",EDATE(TODAY(),$H27))</f>
        <v/>
      </c>
      <c r="J27" s="113" t="str">
        <f aca="false">IF($C27="","",RANK(IF($D27="",0,$D27),$D$8:$D$37,0))</f>
        <v/>
      </c>
      <c r="K27" s="105"/>
    </row>
    <row r="28" customFormat="false" ht="15" hidden="false" customHeight="false" outlineLevel="0" collapsed="false">
      <c r="A28" s="102"/>
      <c r="B28" s="102"/>
      <c r="C28" s="92"/>
      <c r="D28" s="110"/>
      <c r="E28" s="92"/>
      <c r="F28" s="102"/>
      <c r="G28" s="103"/>
      <c r="H28" s="111" t="str">
        <f aca="false">IF(OR($C28="",$E28="",$E28=0),"",IFERROR(ROUNDUP(NPER(IF($D28="",0,$D28/100/12),-$E28,$C28),0),"termijn te laag"))</f>
        <v/>
      </c>
      <c r="I28" s="112" t="str">
        <f aca="true">IF(OR($H28="",ISTEXT($H28)),"",EDATE(TODAY(),$H28))</f>
        <v/>
      </c>
      <c r="J28" s="113" t="str">
        <f aca="false">IF($C28="","",RANK(IF($D28="",0,$D28),$D$8:$D$37,0))</f>
        <v/>
      </c>
      <c r="K28" s="105"/>
    </row>
    <row r="29" customFormat="false" ht="15" hidden="false" customHeight="false" outlineLevel="0" collapsed="false">
      <c r="A29" s="102"/>
      <c r="B29" s="102"/>
      <c r="C29" s="92"/>
      <c r="D29" s="110"/>
      <c r="E29" s="92"/>
      <c r="F29" s="102"/>
      <c r="G29" s="103"/>
      <c r="H29" s="111" t="str">
        <f aca="false">IF(OR($C29="",$E29="",$E29=0),"",IFERROR(ROUNDUP(NPER(IF($D29="",0,$D29/100/12),-$E29,$C29),0),"termijn te laag"))</f>
        <v/>
      </c>
      <c r="I29" s="112" t="str">
        <f aca="true">IF(OR($H29="",ISTEXT($H29)),"",EDATE(TODAY(),$H29))</f>
        <v/>
      </c>
      <c r="J29" s="113" t="str">
        <f aca="false">IF($C29="","",RANK(IF($D29="",0,$D29),$D$8:$D$37,0))</f>
        <v/>
      </c>
      <c r="K29" s="105"/>
    </row>
    <row r="30" customFormat="false" ht="15" hidden="false" customHeight="false" outlineLevel="0" collapsed="false">
      <c r="A30" s="102"/>
      <c r="B30" s="102"/>
      <c r="C30" s="92"/>
      <c r="D30" s="110"/>
      <c r="E30" s="92"/>
      <c r="F30" s="102"/>
      <c r="G30" s="103"/>
      <c r="H30" s="111" t="str">
        <f aca="false">IF(OR($C30="",$E30="",$E30=0),"",IFERROR(ROUNDUP(NPER(IF($D30="",0,$D30/100/12),-$E30,$C30),0),"termijn te laag"))</f>
        <v/>
      </c>
      <c r="I30" s="112" t="str">
        <f aca="true">IF(OR($H30="",ISTEXT($H30)),"",EDATE(TODAY(),$H30))</f>
        <v/>
      </c>
      <c r="J30" s="113" t="str">
        <f aca="false">IF($C30="","",RANK(IF($D30="",0,$D30),$D$8:$D$37,0))</f>
        <v/>
      </c>
      <c r="K30" s="105"/>
    </row>
    <row r="31" customFormat="false" ht="15" hidden="false" customHeight="false" outlineLevel="0" collapsed="false">
      <c r="A31" s="102"/>
      <c r="B31" s="102"/>
      <c r="C31" s="92"/>
      <c r="D31" s="110"/>
      <c r="E31" s="92"/>
      <c r="F31" s="102"/>
      <c r="G31" s="103"/>
      <c r="H31" s="111" t="str">
        <f aca="false">IF(OR($C31="",$E31="",$E31=0),"",IFERROR(ROUNDUP(NPER(IF($D31="",0,$D31/100/12),-$E31,$C31),0),"termijn te laag"))</f>
        <v/>
      </c>
      <c r="I31" s="112" t="str">
        <f aca="true">IF(OR($H31="",ISTEXT($H31)),"",EDATE(TODAY(),$H31))</f>
        <v/>
      </c>
      <c r="J31" s="113" t="str">
        <f aca="false">IF($C31="","",RANK(IF($D31="",0,$D31),$D$8:$D$37,0))</f>
        <v/>
      </c>
      <c r="K31" s="105"/>
    </row>
    <row r="32" customFormat="false" ht="15" hidden="false" customHeight="false" outlineLevel="0" collapsed="false">
      <c r="A32" s="102"/>
      <c r="B32" s="102"/>
      <c r="C32" s="92"/>
      <c r="D32" s="110"/>
      <c r="E32" s="92"/>
      <c r="F32" s="102"/>
      <c r="G32" s="103"/>
      <c r="H32" s="111" t="str">
        <f aca="false">IF(OR($C32="",$E32="",$E32=0),"",IFERROR(ROUNDUP(NPER(IF($D32="",0,$D32/100/12),-$E32,$C32),0),"termijn te laag"))</f>
        <v/>
      </c>
      <c r="I32" s="112" t="str">
        <f aca="true">IF(OR($H32="",ISTEXT($H32)),"",EDATE(TODAY(),$H32))</f>
        <v/>
      </c>
      <c r="J32" s="113" t="str">
        <f aca="false">IF($C32="","",RANK(IF($D32="",0,$D32),$D$8:$D$37,0))</f>
        <v/>
      </c>
      <c r="K32" s="105"/>
    </row>
    <row r="33" customFormat="false" ht="15" hidden="false" customHeight="false" outlineLevel="0" collapsed="false">
      <c r="A33" s="102"/>
      <c r="B33" s="102"/>
      <c r="C33" s="92"/>
      <c r="D33" s="110"/>
      <c r="E33" s="92"/>
      <c r="F33" s="102"/>
      <c r="G33" s="103"/>
      <c r="H33" s="111" t="str">
        <f aca="false">IF(OR($C33="",$E33="",$E33=0),"",IFERROR(ROUNDUP(NPER(IF($D33="",0,$D33/100/12),-$E33,$C33),0),"termijn te laag"))</f>
        <v/>
      </c>
      <c r="I33" s="112" t="str">
        <f aca="true">IF(OR($H33="",ISTEXT($H33)),"",EDATE(TODAY(),$H33))</f>
        <v/>
      </c>
      <c r="J33" s="113" t="str">
        <f aca="false">IF($C33="","",RANK(IF($D33="",0,$D33),$D$8:$D$37,0))</f>
        <v/>
      </c>
      <c r="K33" s="105"/>
    </row>
    <row r="34" customFormat="false" ht="15" hidden="false" customHeight="false" outlineLevel="0" collapsed="false">
      <c r="A34" s="102"/>
      <c r="B34" s="102"/>
      <c r="C34" s="92"/>
      <c r="D34" s="110"/>
      <c r="E34" s="92"/>
      <c r="F34" s="102"/>
      <c r="G34" s="103"/>
      <c r="H34" s="111" t="str">
        <f aca="false">IF(OR($C34="",$E34="",$E34=0),"",IFERROR(ROUNDUP(NPER(IF($D34="",0,$D34/100/12),-$E34,$C34),0),"termijn te laag"))</f>
        <v/>
      </c>
      <c r="I34" s="112" t="str">
        <f aca="true">IF(OR($H34="",ISTEXT($H34)),"",EDATE(TODAY(),$H34))</f>
        <v/>
      </c>
      <c r="J34" s="113" t="str">
        <f aca="false">IF($C34="","",RANK(IF($D34="",0,$D34),$D$8:$D$37,0))</f>
        <v/>
      </c>
      <c r="K34" s="105"/>
    </row>
    <row r="35" customFormat="false" ht="15" hidden="false" customHeight="false" outlineLevel="0" collapsed="false">
      <c r="A35" s="102"/>
      <c r="B35" s="102"/>
      <c r="C35" s="92"/>
      <c r="D35" s="110"/>
      <c r="E35" s="92"/>
      <c r="F35" s="102"/>
      <c r="G35" s="103"/>
      <c r="H35" s="111" t="str">
        <f aca="false">IF(OR($C35="",$E35="",$E35=0),"",IFERROR(ROUNDUP(NPER(IF($D35="",0,$D35/100/12),-$E35,$C35),0),"termijn te laag"))</f>
        <v/>
      </c>
      <c r="I35" s="112" t="str">
        <f aca="true">IF(OR($H35="",ISTEXT($H35)),"",EDATE(TODAY(),$H35))</f>
        <v/>
      </c>
      <c r="J35" s="113" t="str">
        <f aca="false">IF($C35="","",RANK(IF($D35="",0,$D35),$D$8:$D$37,0))</f>
        <v/>
      </c>
      <c r="K35" s="105"/>
    </row>
    <row r="36" customFormat="false" ht="15" hidden="false" customHeight="false" outlineLevel="0" collapsed="false">
      <c r="A36" s="102"/>
      <c r="B36" s="102"/>
      <c r="C36" s="92"/>
      <c r="D36" s="110"/>
      <c r="E36" s="92"/>
      <c r="F36" s="102"/>
      <c r="G36" s="103"/>
      <c r="H36" s="111" t="str">
        <f aca="false">IF(OR($C36="",$E36="",$E36=0),"",IFERROR(ROUNDUP(NPER(IF($D36="",0,$D36/100/12),-$E36,$C36),0),"termijn te laag"))</f>
        <v/>
      </c>
      <c r="I36" s="112" t="str">
        <f aca="true">IF(OR($H36="",ISTEXT($H36)),"",EDATE(TODAY(),$H36))</f>
        <v/>
      </c>
      <c r="J36" s="113" t="str">
        <f aca="false">IF($C36="","",RANK(IF($D36="",0,$D36),$D$8:$D$37,0))</f>
        <v/>
      </c>
      <c r="K36" s="105"/>
    </row>
    <row r="37" customFormat="false" ht="15" hidden="false" customHeight="false" outlineLevel="0" collapsed="false">
      <c r="A37" s="102"/>
      <c r="B37" s="102"/>
      <c r="C37" s="92"/>
      <c r="D37" s="110"/>
      <c r="E37" s="92"/>
      <c r="F37" s="102"/>
      <c r="G37" s="103"/>
      <c r="H37" s="111" t="str">
        <f aca="false">IF(OR($C37="",$E37="",$E37=0),"",IFERROR(ROUNDUP(NPER(IF($D37="",0,$D37/100/12),-$E37,$C37),0),"termijn te laag"))</f>
        <v/>
      </c>
      <c r="I37" s="112" t="str">
        <f aca="true">IF(OR($H37="",ISTEXT($H37)),"",EDATE(TODAY(),$H37))</f>
        <v/>
      </c>
      <c r="J37" s="113" t="str">
        <f aca="false">IF($C37="","",RANK(IF($D37="",0,$D37),$D$8:$D$37,0))</f>
        <v/>
      </c>
      <c r="K37" s="105"/>
    </row>
    <row r="39" customFormat="false" ht="15" hidden="false" customHeight="false" outlineLevel="0" collapsed="false">
      <c r="A39" s="12" t="s">
        <v>152</v>
      </c>
    </row>
    <row r="40" customFormat="false" ht="15" hidden="false" customHeight="false" outlineLevel="0" collapsed="false">
      <c r="A40" s="12" t="s">
        <v>153</v>
      </c>
    </row>
  </sheetData>
  <dataValidations count="3">
    <dataValidation allowBlank="true" errorStyle="stop" operator="between" showDropDown="false" showErrorMessage="false" showInputMessage="false" sqref="F8:F37" type="list">
      <formula1>Lijsten!$C$6:$C$35</formula1>
      <formula2>0</formula2>
    </dataValidation>
    <dataValidation allowBlank="true" errorStyle="stop" operator="between" showDropDown="false" showErrorMessage="false" showInputMessage="false" sqref="G8:G37" type="list">
      <formula1>"Ja,Nee"</formula1>
      <formula2>0</formula2>
    </dataValidation>
    <dataValidation allowBlank="true" errorStyle="stop" operator="between" showDropDown="false" showErrorMessage="false" showInputMessage="false" sqref="A8:A37" type="list">
      <formula1>Lijsten!$G$6:$G$25</formula1>
      <formula2>0</formula2>
    </dataValidation>
  </dataValidations>
  <hyperlinks>
    <hyperlink ref="E1" location="'Start'!A1" display="⌂  Menu"/>
    <hyperlink ref="F1" location="'Dashboard'!A1" display="Dashboard ▸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891B2"/>
    <pageSetUpPr fitToPage="false"/>
  </sheetPr>
  <dimension ref="A1:H5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26"/>
    <col collapsed="false" customWidth="true" hidden="false" outlineLevel="0" max="8" min="8" style="0" width="13"/>
  </cols>
  <sheetData>
    <row r="1" customFormat="false" ht="19.7" hidden="false" customHeight="false" outlineLevel="0" collapsed="false">
      <c r="A1" s="95" t="s">
        <v>5</v>
      </c>
      <c r="E1" s="32" t="s">
        <v>36</v>
      </c>
      <c r="F1" s="77" t="s">
        <v>82</v>
      </c>
    </row>
    <row r="2" customFormat="false" ht="15" hidden="false" customHeight="false" outlineLevel="0" collapsed="false">
      <c r="A2" s="15" t="s">
        <v>154</v>
      </c>
    </row>
    <row r="3" customFormat="false" ht="15" hidden="false" customHeight="false" outlineLevel="0" collapsed="false">
      <c r="A3" s="12" t="s">
        <v>155</v>
      </c>
    </row>
    <row r="7" customFormat="false" ht="15" hidden="false" customHeight="false" outlineLevel="0" collapsed="false">
      <c r="A7" s="114" t="s">
        <v>156</v>
      </c>
      <c r="B7" s="114" t="s">
        <v>85</v>
      </c>
      <c r="C7" s="114" t="s">
        <v>100</v>
      </c>
      <c r="D7" s="114" t="s">
        <v>102</v>
      </c>
      <c r="E7" s="114" t="s">
        <v>157</v>
      </c>
      <c r="F7" s="114" t="s">
        <v>158</v>
      </c>
      <c r="G7" s="114" t="s">
        <v>107</v>
      </c>
      <c r="H7" s="114" t="s">
        <v>159</v>
      </c>
    </row>
    <row r="8" customFormat="false" ht="15" hidden="false" customHeight="false" outlineLevel="0" collapsed="false">
      <c r="A8" s="115" t="n">
        <v>46237</v>
      </c>
      <c r="B8" s="102" t="s">
        <v>160</v>
      </c>
      <c r="C8" s="102" t="s">
        <v>161</v>
      </c>
      <c r="D8" s="92" t="n">
        <v>62.3</v>
      </c>
      <c r="E8" s="116" t="str">
        <f aca="false">IF($B8="","",IF(COUNTIF(Lijsten!$A$6:$A$12,$B8)&gt;0,"Inkomst","Uitgave"))</f>
        <v>Uitgave</v>
      </c>
      <c r="F8" s="102" t="s">
        <v>162</v>
      </c>
      <c r="G8" s="105" t="s">
        <v>126</v>
      </c>
      <c r="H8" s="116" t="n">
        <f aca="false">IF($A8="","",YEAR($A8)*100+MONTH($A8))</f>
        <v>202608</v>
      </c>
    </row>
    <row r="9" customFormat="false" ht="15" hidden="false" customHeight="false" outlineLevel="0" collapsed="false">
      <c r="A9" s="115"/>
      <c r="B9" s="102"/>
      <c r="C9" s="102"/>
      <c r="D9" s="92"/>
      <c r="E9" s="116" t="str">
        <f aca="false">IF($B9="","",IF(COUNTIF(Lijsten!$A$6:$A$12,$B9)&gt;0,"Inkomst","Uitgave"))</f>
        <v/>
      </c>
      <c r="F9" s="102"/>
      <c r="G9" s="105"/>
      <c r="H9" s="116" t="str">
        <f aca="false">IF($A9="","",YEAR($A9)*100+MONTH($A9))</f>
        <v/>
      </c>
    </row>
    <row r="10" customFormat="false" ht="15" hidden="false" customHeight="false" outlineLevel="0" collapsed="false">
      <c r="A10" s="115"/>
      <c r="B10" s="102"/>
      <c r="C10" s="102"/>
      <c r="D10" s="92"/>
      <c r="E10" s="116" t="str">
        <f aca="false">IF($B10="","",IF(COUNTIF(Lijsten!$A$6:$A$12,$B10)&gt;0,"Inkomst","Uitgave"))</f>
        <v/>
      </c>
      <c r="F10" s="102"/>
      <c r="G10" s="105"/>
      <c r="H10" s="116" t="str">
        <f aca="false">IF($A10="","",YEAR($A10)*100+MONTH($A10))</f>
        <v/>
      </c>
    </row>
    <row r="11" customFormat="false" ht="15" hidden="false" customHeight="false" outlineLevel="0" collapsed="false">
      <c r="A11" s="115"/>
      <c r="B11" s="102"/>
      <c r="C11" s="102"/>
      <c r="D11" s="92"/>
      <c r="E11" s="116" t="str">
        <f aca="false">IF($B11="","",IF(COUNTIF(Lijsten!$A$6:$A$12,$B11)&gt;0,"Inkomst","Uitgave"))</f>
        <v/>
      </c>
      <c r="F11" s="102"/>
      <c r="G11" s="105"/>
      <c r="H11" s="116" t="str">
        <f aca="false">IF($A11="","",YEAR($A11)*100+MONTH($A11))</f>
        <v/>
      </c>
    </row>
    <row r="12" customFormat="false" ht="15" hidden="false" customHeight="false" outlineLevel="0" collapsed="false">
      <c r="A12" s="115"/>
      <c r="B12" s="102"/>
      <c r="C12" s="102"/>
      <c r="D12" s="92"/>
      <c r="E12" s="116" t="str">
        <f aca="false">IF($B12="","",IF(COUNTIF(Lijsten!$A$6:$A$12,$B12)&gt;0,"Inkomst","Uitgave"))</f>
        <v/>
      </c>
      <c r="F12" s="102"/>
      <c r="G12" s="105"/>
      <c r="H12" s="116" t="str">
        <f aca="false">IF($A12="","",YEAR($A12)*100+MONTH($A12))</f>
        <v/>
      </c>
    </row>
    <row r="13" customFormat="false" ht="15" hidden="false" customHeight="false" outlineLevel="0" collapsed="false">
      <c r="A13" s="115"/>
      <c r="B13" s="102"/>
      <c r="C13" s="102"/>
      <c r="D13" s="92"/>
      <c r="E13" s="116" t="str">
        <f aca="false">IF($B13="","",IF(COUNTIF(Lijsten!$A$6:$A$12,$B13)&gt;0,"Inkomst","Uitgave"))</f>
        <v/>
      </c>
      <c r="F13" s="102"/>
      <c r="G13" s="105"/>
      <c r="H13" s="116" t="str">
        <f aca="false">IF($A13="","",YEAR($A13)*100+MONTH($A13))</f>
        <v/>
      </c>
    </row>
    <row r="14" customFormat="false" ht="15" hidden="false" customHeight="false" outlineLevel="0" collapsed="false">
      <c r="A14" s="115"/>
      <c r="B14" s="102"/>
      <c r="C14" s="102"/>
      <c r="D14" s="92"/>
      <c r="E14" s="116" t="str">
        <f aca="false">IF($B14="","",IF(COUNTIF(Lijsten!$A$6:$A$12,$B14)&gt;0,"Inkomst","Uitgave"))</f>
        <v/>
      </c>
      <c r="F14" s="102"/>
      <c r="G14" s="105"/>
      <c r="H14" s="116" t="str">
        <f aca="false">IF($A14="","",YEAR($A14)*100+MONTH($A14))</f>
        <v/>
      </c>
    </row>
    <row r="15" customFormat="false" ht="15" hidden="false" customHeight="false" outlineLevel="0" collapsed="false">
      <c r="A15" s="115"/>
      <c r="B15" s="102"/>
      <c r="C15" s="102"/>
      <c r="D15" s="92"/>
      <c r="E15" s="116" t="str">
        <f aca="false">IF($B15="","",IF(COUNTIF(Lijsten!$A$6:$A$12,$B15)&gt;0,"Inkomst","Uitgave"))</f>
        <v/>
      </c>
      <c r="F15" s="102"/>
      <c r="G15" s="105"/>
      <c r="H15" s="116" t="str">
        <f aca="false">IF($A15="","",YEAR($A15)*100+MONTH($A15))</f>
        <v/>
      </c>
    </row>
    <row r="16" customFormat="false" ht="15" hidden="false" customHeight="false" outlineLevel="0" collapsed="false">
      <c r="A16" s="115"/>
      <c r="B16" s="102"/>
      <c r="C16" s="102"/>
      <c r="D16" s="92"/>
      <c r="E16" s="116" t="str">
        <f aca="false">IF($B16="","",IF(COUNTIF(Lijsten!$A$6:$A$12,$B16)&gt;0,"Inkomst","Uitgave"))</f>
        <v/>
      </c>
      <c r="F16" s="102"/>
      <c r="G16" s="105"/>
      <c r="H16" s="116" t="str">
        <f aca="false">IF($A16="","",YEAR($A16)*100+MONTH($A16))</f>
        <v/>
      </c>
    </row>
    <row r="17" customFormat="false" ht="15" hidden="false" customHeight="false" outlineLevel="0" collapsed="false">
      <c r="A17" s="115"/>
      <c r="B17" s="102"/>
      <c r="C17" s="102"/>
      <c r="D17" s="92"/>
      <c r="E17" s="116" t="str">
        <f aca="false">IF($B17="","",IF(COUNTIF(Lijsten!$A$6:$A$12,$B17)&gt;0,"Inkomst","Uitgave"))</f>
        <v/>
      </c>
      <c r="F17" s="102"/>
      <c r="G17" s="105"/>
      <c r="H17" s="116" t="str">
        <f aca="false">IF($A17="","",YEAR($A17)*100+MONTH($A17))</f>
        <v/>
      </c>
    </row>
    <row r="18" customFormat="false" ht="15" hidden="false" customHeight="false" outlineLevel="0" collapsed="false">
      <c r="A18" s="115"/>
      <c r="B18" s="102"/>
      <c r="C18" s="102"/>
      <c r="D18" s="92"/>
      <c r="E18" s="116" t="str">
        <f aca="false">IF($B18="","",IF(COUNTIF(Lijsten!$A$6:$A$12,$B18)&gt;0,"Inkomst","Uitgave"))</f>
        <v/>
      </c>
      <c r="F18" s="102"/>
      <c r="G18" s="105"/>
      <c r="H18" s="116" t="str">
        <f aca="false">IF($A18="","",YEAR($A18)*100+MONTH($A18))</f>
        <v/>
      </c>
    </row>
    <row r="19" customFormat="false" ht="15" hidden="false" customHeight="false" outlineLevel="0" collapsed="false">
      <c r="A19" s="115"/>
      <c r="B19" s="102"/>
      <c r="C19" s="102"/>
      <c r="D19" s="92"/>
      <c r="E19" s="116" t="str">
        <f aca="false">IF($B19="","",IF(COUNTIF(Lijsten!$A$6:$A$12,$B19)&gt;0,"Inkomst","Uitgave"))</f>
        <v/>
      </c>
      <c r="F19" s="102"/>
      <c r="G19" s="105"/>
      <c r="H19" s="116" t="str">
        <f aca="false">IF($A19="","",YEAR($A19)*100+MONTH($A19))</f>
        <v/>
      </c>
    </row>
    <row r="20" customFormat="false" ht="15" hidden="false" customHeight="false" outlineLevel="0" collapsed="false">
      <c r="A20" s="115"/>
      <c r="B20" s="102"/>
      <c r="C20" s="102"/>
      <c r="D20" s="92"/>
      <c r="E20" s="116" t="str">
        <f aca="false">IF($B20="","",IF(COUNTIF(Lijsten!$A$6:$A$12,$B20)&gt;0,"Inkomst","Uitgave"))</f>
        <v/>
      </c>
      <c r="F20" s="102"/>
      <c r="G20" s="105"/>
      <c r="H20" s="116" t="str">
        <f aca="false">IF($A20="","",YEAR($A20)*100+MONTH($A20))</f>
        <v/>
      </c>
    </row>
    <row r="21" customFormat="false" ht="15" hidden="false" customHeight="false" outlineLevel="0" collapsed="false">
      <c r="A21" s="115"/>
      <c r="B21" s="102"/>
      <c r="C21" s="102"/>
      <c r="D21" s="92"/>
      <c r="E21" s="116" t="str">
        <f aca="false">IF($B21="","",IF(COUNTIF(Lijsten!$A$6:$A$12,$B21)&gt;0,"Inkomst","Uitgave"))</f>
        <v/>
      </c>
      <c r="F21" s="102"/>
      <c r="G21" s="105"/>
      <c r="H21" s="116" t="str">
        <f aca="false">IF($A21="","",YEAR($A21)*100+MONTH($A21))</f>
        <v/>
      </c>
    </row>
    <row r="22" customFormat="false" ht="15" hidden="false" customHeight="false" outlineLevel="0" collapsed="false">
      <c r="A22" s="115"/>
      <c r="B22" s="102"/>
      <c r="C22" s="102"/>
      <c r="D22" s="92"/>
      <c r="E22" s="116" t="str">
        <f aca="false">IF($B22="","",IF(COUNTIF(Lijsten!$A$6:$A$12,$B22)&gt;0,"Inkomst","Uitgave"))</f>
        <v/>
      </c>
      <c r="F22" s="102"/>
      <c r="G22" s="105"/>
      <c r="H22" s="116" t="str">
        <f aca="false">IF($A22="","",YEAR($A22)*100+MONTH($A22))</f>
        <v/>
      </c>
    </row>
    <row r="23" customFormat="false" ht="15" hidden="false" customHeight="false" outlineLevel="0" collapsed="false">
      <c r="A23" s="115"/>
      <c r="B23" s="102"/>
      <c r="C23" s="102"/>
      <c r="D23" s="92"/>
      <c r="E23" s="116" t="str">
        <f aca="false">IF($B23="","",IF(COUNTIF(Lijsten!$A$6:$A$12,$B23)&gt;0,"Inkomst","Uitgave"))</f>
        <v/>
      </c>
      <c r="F23" s="102"/>
      <c r="G23" s="105"/>
      <c r="H23" s="116" t="str">
        <f aca="false">IF($A23="","",YEAR($A23)*100+MONTH($A23))</f>
        <v/>
      </c>
    </row>
    <row r="24" customFormat="false" ht="15" hidden="false" customHeight="false" outlineLevel="0" collapsed="false">
      <c r="A24" s="115"/>
      <c r="B24" s="102"/>
      <c r="C24" s="102"/>
      <c r="D24" s="92"/>
      <c r="E24" s="116" t="str">
        <f aca="false">IF($B24="","",IF(COUNTIF(Lijsten!$A$6:$A$12,$B24)&gt;0,"Inkomst","Uitgave"))</f>
        <v/>
      </c>
      <c r="F24" s="102"/>
      <c r="G24" s="105"/>
      <c r="H24" s="116" t="str">
        <f aca="false">IF($A24="","",YEAR($A24)*100+MONTH($A24))</f>
        <v/>
      </c>
    </row>
    <row r="25" customFormat="false" ht="15" hidden="false" customHeight="false" outlineLevel="0" collapsed="false">
      <c r="A25" s="115"/>
      <c r="B25" s="102"/>
      <c r="C25" s="102"/>
      <c r="D25" s="92"/>
      <c r="E25" s="116" t="str">
        <f aca="false">IF($B25="","",IF(COUNTIF(Lijsten!$A$6:$A$12,$B25)&gt;0,"Inkomst","Uitgave"))</f>
        <v/>
      </c>
      <c r="F25" s="102"/>
      <c r="G25" s="105"/>
      <c r="H25" s="116" t="str">
        <f aca="false">IF($A25="","",YEAR($A25)*100+MONTH($A25))</f>
        <v/>
      </c>
    </row>
    <row r="26" customFormat="false" ht="15" hidden="false" customHeight="false" outlineLevel="0" collapsed="false">
      <c r="A26" s="115"/>
      <c r="B26" s="102"/>
      <c r="C26" s="102"/>
      <c r="D26" s="92"/>
      <c r="E26" s="116" t="str">
        <f aca="false">IF($B26="","",IF(COUNTIF(Lijsten!$A$6:$A$12,$B26)&gt;0,"Inkomst","Uitgave"))</f>
        <v/>
      </c>
      <c r="F26" s="102"/>
      <c r="G26" s="105"/>
      <c r="H26" s="116" t="str">
        <f aca="false">IF($A26="","",YEAR($A26)*100+MONTH($A26))</f>
        <v/>
      </c>
    </row>
    <row r="27" customFormat="false" ht="15" hidden="false" customHeight="false" outlineLevel="0" collapsed="false">
      <c r="A27" s="115"/>
      <c r="B27" s="102"/>
      <c r="C27" s="102"/>
      <c r="D27" s="92"/>
      <c r="E27" s="116" t="str">
        <f aca="false">IF($B27="","",IF(COUNTIF(Lijsten!$A$6:$A$12,$B27)&gt;0,"Inkomst","Uitgave"))</f>
        <v/>
      </c>
      <c r="F27" s="102"/>
      <c r="G27" s="105"/>
      <c r="H27" s="116" t="str">
        <f aca="false">IF($A27="","",YEAR($A27)*100+MONTH($A27))</f>
        <v/>
      </c>
    </row>
    <row r="28" customFormat="false" ht="15" hidden="false" customHeight="false" outlineLevel="0" collapsed="false">
      <c r="A28" s="115"/>
      <c r="B28" s="102"/>
      <c r="C28" s="102"/>
      <c r="D28" s="92"/>
      <c r="E28" s="116" t="str">
        <f aca="false">IF($B28="","",IF(COUNTIF(Lijsten!$A$6:$A$12,$B28)&gt;0,"Inkomst","Uitgave"))</f>
        <v/>
      </c>
      <c r="F28" s="102"/>
      <c r="G28" s="105"/>
      <c r="H28" s="116" t="str">
        <f aca="false">IF($A28="","",YEAR($A28)*100+MONTH($A28))</f>
        <v/>
      </c>
    </row>
    <row r="29" customFormat="false" ht="15" hidden="false" customHeight="false" outlineLevel="0" collapsed="false">
      <c r="A29" s="115"/>
      <c r="B29" s="102"/>
      <c r="C29" s="102"/>
      <c r="D29" s="92"/>
      <c r="E29" s="116" t="str">
        <f aca="false">IF($B29="","",IF(COUNTIF(Lijsten!$A$6:$A$12,$B29)&gt;0,"Inkomst","Uitgave"))</f>
        <v/>
      </c>
      <c r="F29" s="102"/>
      <c r="G29" s="105"/>
      <c r="H29" s="116" t="str">
        <f aca="false">IF($A29="","",YEAR($A29)*100+MONTH($A29))</f>
        <v/>
      </c>
    </row>
    <row r="30" customFormat="false" ht="15" hidden="false" customHeight="false" outlineLevel="0" collapsed="false">
      <c r="A30" s="115"/>
      <c r="B30" s="102"/>
      <c r="C30" s="102"/>
      <c r="D30" s="92"/>
      <c r="E30" s="116" t="str">
        <f aca="false">IF($B30="","",IF(COUNTIF(Lijsten!$A$6:$A$12,$B30)&gt;0,"Inkomst","Uitgave"))</f>
        <v/>
      </c>
      <c r="F30" s="102"/>
      <c r="G30" s="105"/>
      <c r="H30" s="116" t="str">
        <f aca="false">IF($A30="","",YEAR($A30)*100+MONTH($A30))</f>
        <v/>
      </c>
    </row>
    <row r="31" customFormat="false" ht="15" hidden="false" customHeight="false" outlineLevel="0" collapsed="false">
      <c r="A31" s="115"/>
      <c r="B31" s="102"/>
      <c r="C31" s="102"/>
      <c r="D31" s="92"/>
      <c r="E31" s="116" t="str">
        <f aca="false">IF($B31="","",IF(COUNTIF(Lijsten!$A$6:$A$12,$B31)&gt;0,"Inkomst","Uitgave"))</f>
        <v/>
      </c>
      <c r="F31" s="102"/>
      <c r="G31" s="105"/>
      <c r="H31" s="116" t="str">
        <f aca="false">IF($A31="","",YEAR($A31)*100+MONTH($A31))</f>
        <v/>
      </c>
    </row>
    <row r="32" customFormat="false" ht="15" hidden="false" customHeight="false" outlineLevel="0" collapsed="false">
      <c r="A32" s="115"/>
      <c r="B32" s="102"/>
      <c r="C32" s="102"/>
      <c r="D32" s="92"/>
      <c r="E32" s="116" t="str">
        <f aca="false">IF($B32="","",IF(COUNTIF(Lijsten!$A$6:$A$12,$B32)&gt;0,"Inkomst","Uitgave"))</f>
        <v/>
      </c>
      <c r="F32" s="102"/>
      <c r="G32" s="105"/>
      <c r="H32" s="116" t="str">
        <f aca="false">IF($A32="","",YEAR($A32)*100+MONTH($A32))</f>
        <v/>
      </c>
    </row>
    <row r="33" customFormat="false" ht="15" hidden="false" customHeight="false" outlineLevel="0" collapsed="false">
      <c r="A33" s="115"/>
      <c r="B33" s="102"/>
      <c r="C33" s="102"/>
      <c r="D33" s="92"/>
      <c r="E33" s="116" t="str">
        <f aca="false">IF($B33="","",IF(COUNTIF(Lijsten!$A$6:$A$12,$B33)&gt;0,"Inkomst","Uitgave"))</f>
        <v/>
      </c>
      <c r="F33" s="102"/>
      <c r="G33" s="105"/>
      <c r="H33" s="116" t="str">
        <f aca="false">IF($A33="","",YEAR($A33)*100+MONTH($A33))</f>
        <v/>
      </c>
    </row>
    <row r="34" customFormat="false" ht="15" hidden="false" customHeight="false" outlineLevel="0" collapsed="false">
      <c r="A34" s="115"/>
      <c r="B34" s="102"/>
      <c r="C34" s="102"/>
      <c r="D34" s="92"/>
      <c r="E34" s="116" t="str">
        <f aca="false">IF($B34="","",IF(COUNTIF(Lijsten!$A$6:$A$12,$B34)&gt;0,"Inkomst","Uitgave"))</f>
        <v/>
      </c>
      <c r="F34" s="102"/>
      <c r="G34" s="105"/>
      <c r="H34" s="116" t="str">
        <f aca="false">IF($A34="","",YEAR($A34)*100+MONTH($A34))</f>
        <v/>
      </c>
    </row>
    <row r="35" customFormat="false" ht="15" hidden="false" customHeight="false" outlineLevel="0" collapsed="false">
      <c r="A35" s="115"/>
      <c r="B35" s="102"/>
      <c r="C35" s="102"/>
      <c r="D35" s="92"/>
      <c r="E35" s="116" t="str">
        <f aca="false">IF($B35="","",IF(COUNTIF(Lijsten!$A$6:$A$12,$B35)&gt;0,"Inkomst","Uitgave"))</f>
        <v/>
      </c>
      <c r="F35" s="102"/>
      <c r="G35" s="105"/>
      <c r="H35" s="116" t="str">
        <f aca="false">IF($A35="","",YEAR($A35)*100+MONTH($A35))</f>
        <v/>
      </c>
    </row>
    <row r="36" customFormat="false" ht="15" hidden="false" customHeight="false" outlineLevel="0" collapsed="false">
      <c r="A36" s="115"/>
      <c r="B36" s="102"/>
      <c r="C36" s="102"/>
      <c r="D36" s="92"/>
      <c r="E36" s="116" t="str">
        <f aca="false">IF($B36="","",IF(COUNTIF(Lijsten!$A$6:$A$12,$B36)&gt;0,"Inkomst","Uitgave"))</f>
        <v/>
      </c>
      <c r="F36" s="102"/>
      <c r="G36" s="105"/>
      <c r="H36" s="116" t="str">
        <f aca="false">IF($A36="","",YEAR($A36)*100+MONTH($A36))</f>
        <v/>
      </c>
    </row>
    <row r="37" customFormat="false" ht="15" hidden="false" customHeight="false" outlineLevel="0" collapsed="false">
      <c r="A37" s="115"/>
      <c r="B37" s="102"/>
      <c r="C37" s="102"/>
      <c r="D37" s="92"/>
      <c r="E37" s="116" t="str">
        <f aca="false">IF($B37="","",IF(COUNTIF(Lijsten!$A$6:$A$12,$B37)&gt;0,"Inkomst","Uitgave"))</f>
        <v/>
      </c>
      <c r="F37" s="102"/>
      <c r="G37" s="105"/>
      <c r="H37" s="116" t="str">
        <f aca="false">IF($A37="","",YEAR($A37)*100+MONTH($A37))</f>
        <v/>
      </c>
    </row>
    <row r="38" customFormat="false" ht="15" hidden="false" customHeight="false" outlineLevel="0" collapsed="false">
      <c r="A38" s="115"/>
      <c r="B38" s="102"/>
      <c r="C38" s="102"/>
      <c r="D38" s="92"/>
      <c r="E38" s="116" t="str">
        <f aca="false">IF($B38="","",IF(COUNTIF(Lijsten!$A$6:$A$12,$B38)&gt;0,"Inkomst","Uitgave"))</f>
        <v/>
      </c>
      <c r="F38" s="102"/>
      <c r="G38" s="105"/>
      <c r="H38" s="116" t="str">
        <f aca="false">IF($A38="","",YEAR($A38)*100+MONTH($A38))</f>
        <v/>
      </c>
    </row>
    <row r="39" customFormat="false" ht="15" hidden="false" customHeight="false" outlineLevel="0" collapsed="false">
      <c r="A39" s="115"/>
      <c r="B39" s="102"/>
      <c r="C39" s="102"/>
      <c r="D39" s="92"/>
      <c r="E39" s="116" t="str">
        <f aca="false">IF($B39="","",IF(COUNTIF(Lijsten!$A$6:$A$12,$B39)&gt;0,"Inkomst","Uitgave"))</f>
        <v/>
      </c>
      <c r="F39" s="102"/>
      <c r="G39" s="105"/>
      <c r="H39" s="116" t="str">
        <f aca="false">IF($A39="","",YEAR($A39)*100+MONTH($A39))</f>
        <v/>
      </c>
    </row>
    <row r="40" customFormat="false" ht="15" hidden="false" customHeight="false" outlineLevel="0" collapsed="false">
      <c r="A40" s="115"/>
      <c r="B40" s="102"/>
      <c r="C40" s="102"/>
      <c r="D40" s="92"/>
      <c r="E40" s="116" t="str">
        <f aca="false">IF($B40="","",IF(COUNTIF(Lijsten!$A$6:$A$12,$B40)&gt;0,"Inkomst","Uitgave"))</f>
        <v/>
      </c>
      <c r="F40" s="102"/>
      <c r="G40" s="105"/>
      <c r="H40" s="116" t="str">
        <f aca="false">IF($A40="","",YEAR($A40)*100+MONTH($A40))</f>
        <v/>
      </c>
    </row>
    <row r="41" customFormat="false" ht="15" hidden="false" customHeight="false" outlineLevel="0" collapsed="false">
      <c r="A41" s="115"/>
      <c r="B41" s="102"/>
      <c r="C41" s="102"/>
      <c r="D41" s="92"/>
      <c r="E41" s="116" t="str">
        <f aca="false">IF($B41="","",IF(COUNTIF(Lijsten!$A$6:$A$12,$B41)&gt;0,"Inkomst","Uitgave"))</f>
        <v/>
      </c>
      <c r="F41" s="102"/>
      <c r="G41" s="105"/>
      <c r="H41" s="116" t="str">
        <f aca="false">IF($A41="","",YEAR($A41)*100+MONTH($A41))</f>
        <v/>
      </c>
    </row>
    <row r="42" customFormat="false" ht="15" hidden="false" customHeight="false" outlineLevel="0" collapsed="false">
      <c r="A42" s="115"/>
      <c r="B42" s="102"/>
      <c r="C42" s="102"/>
      <c r="D42" s="92"/>
      <c r="E42" s="116" t="str">
        <f aca="false">IF($B42="","",IF(COUNTIF(Lijsten!$A$6:$A$12,$B42)&gt;0,"Inkomst","Uitgave"))</f>
        <v/>
      </c>
      <c r="F42" s="102"/>
      <c r="G42" s="105"/>
      <c r="H42" s="116" t="str">
        <f aca="false">IF($A42="","",YEAR($A42)*100+MONTH($A42))</f>
        <v/>
      </c>
    </row>
    <row r="43" customFormat="false" ht="15" hidden="false" customHeight="false" outlineLevel="0" collapsed="false">
      <c r="A43" s="115"/>
      <c r="B43" s="102"/>
      <c r="C43" s="102"/>
      <c r="D43" s="92"/>
      <c r="E43" s="116" t="str">
        <f aca="false">IF($B43="","",IF(COUNTIF(Lijsten!$A$6:$A$12,$B43)&gt;0,"Inkomst","Uitgave"))</f>
        <v/>
      </c>
      <c r="F43" s="102"/>
      <c r="G43" s="105"/>
      <c r="H43" s="116" t="str">
        <f aca="false">IF($A43="","",YEAR($A43)*100+MONTH($A43))</f>
        <v/>
      </c>
    </row>
    <row r="44" customFormat="false" ht="15" hidden="false" customHeight="false" outlineLevel="0" collapsed="false">
      <c r="A44" s="115"/>
      <c r="B44" s="102"/>
      <c r="C44" s="102"/>
      <c r="D44" s="92"/>
      <c r="E44" s="116" t="str">
        <f aca="false">IF($B44="","",IF(COUNTIF(Lijsten!$A$6:$A$12,$B44)&gt;0,"Inkomst","Uitgave"))</f>
        <v/>
      </c>
      <c r="F44" s="102"/>
      <c r="G44" s="105"/>
      <c r="H44" s="116" t="str">
        <f aca="false">IF($A44="","",YEAR($A44)*100+MONTH($A44))</f>
        <v/>
      </c>
    </row>
    <row r="45" customFormat="false" ht="15" hidden="false" customHeight="false" outlineLevel="0" collapsed="false">
      <c r="A45" s="115"/>
      <c r="B45" s="102"/>
      <c r="C45" s="102"/>
      <c r="D45" s="92"/>
      <c r="E45" s="116" t="str">
        <f aca="false">IF($B45="","",IF(COUNTIF(Lijsten!$A$6:$A$12,$B45)&gt;0,"Inkomst","Uitgave"))</f>
        <v/>
      </c>
      <c r="F45" s="102"/>
      <c r="G45" s="105"/>
      <c r="H45" s="116" t="str">
        <f aca="false">IF($A45="","",YEAR($A45)*100+MONTH($A45))</f>
        <v/>
      </c>
    </row>
    <row r="46" customFormat="false" ht="15" hidden="false" customHeight="false" outlineLevel="0" collapsed="false">
      <c r="A46" s="115"/>
      <c r="B46" s="102"/>
      <c r="C46" s="102"/>
      <c r="D46" s="92"/>
      <c r="E46" s="116" t="str">
        <f aca="false">IF($B46="","",IF(COUNTIF(Lijsten!$A$6:$A$12,$B46)&gt;0,"Inkomst","Uitgave"))</f>
        <v/>
      </c>
      <c r="F46" s="102"/>
      <c r="G46" s="105"/>
      <c r="H46" s="116" t="str">
        <f aca="false">IF($A46="","",YEAR($A46)*100+MONTH($A46))</f>
        <v/>
      </c>
    </row>
    <row r="47" customFormat="false" ht="15" hidden="false" customHeight="false" outlineLevel="0" collapsed="false">
      <c r="A47" s="115"/>
      <c r="B47" s="102"/>
      <c r="C47" s="102"/>
      <c r="D47" s="92"/>
      <c r="E47" s="116" t="str">
        <f aca="false">IF($B47="","",IF(COUNTIF(Lijsten!$A$6:$A$12,$B47)&gt;0,"Inkomst","Uitgave"))</f>
        <v/>
      </c>
      <c r="F47" s="102"/>
      <c r="G47" s="105"/>
      <c r="H47" s="116" t="str">
        <f aca="false">IF($A47="","",YEAR($A47)*100+MONTH($A47))</f>
        <v/>
      </c>
    </row>
    <row r="48" customFormat="false" ht="15" hidden="false" customHeight="false" outlineLevel="0" collapsed="false">
      <c r="A48" s="115"/>
      <c r="B48" s="102"/>
      <c r="C48" s="102"/>
      <c r="D48" s="92"/>
      <c r="E48" s="116" t="str">
        <f aca="false">IF($B48="","",IF(COUNTIF(Lijsten!$A$6:$A$12,$B48)&gt;0,"Inkomst","Uitgave"))</f>
        <v/>
      </c>
      <c r="F48" s="102"/>
      <c r="G48" s="105"/>
      <c r="H48" s="116" t="str">
        <f aca="false">IF($A48="","",YEAR($A48)*100+MONTH($A48))</f>
        <v/>
      </c>
    </row>
    <row r="49" customFormat="false" ht="15" hidden="false" customHeight="false" outlineLevel="0" collapsed="false">
      <c r="A49" s="115"/>
      <c r="B49" s="102"/>
      <c r="C49" s="102"/>
      <c r="D49" s="92"/>
      <c r="E49" s="116" t="str">
        <f aca="false">IF($B49="","",IF(COUNTIF(Lijsten!$A$6:$A$12,$B49)&gt;0,"Inkomst","Uitgave"))</f>
        <v/>
      </c>
      <c r="F49" s="102"/>
      <c r="G49" s="105"/>
      <c r="H49" s="116" t="str">
        <f aca="false">IF($A49="","",YEAR($A49)*100+MONTH($A49))</f>
        <v/>
      </c>
    </row>
    <row r="50" customFormat="false" ht="15" hidden="false" customHeight="false" outlineLevel="0" collapsed="false">
      <c r="A50" s="115"/>
      <c r="B50" s="102"/>
      <c r="C50" s="102"/>
      <c r="D50" s="92"/>
      <c r="E50" s="116" t="str">
        <f aca="false">IF($B50="","",IF(COUNTIF(Lijsten!$A$6:$A$12,$B50)&gt;0,"Inkomst","Uitgave"))</f>
        <v/>
      </c>
      <c r="F50" s="102"/>
      <c r="G50" s="105"/>
      <c r="H50" s="116" t="str">
        <f aca="false">IF($A50="","",YEAR($A50)*100+MONTH($A50))</f>
        <v/>
      </c>
    </row>
    <row r="51" customFormat="false" ht="15" hidden="false" customHeight="false" outlineLevel="0" collapsed="false">
      <c r="A51" s="115"/>
      <c r="B51" s="102"/>
      <c r="C51" s="102"/>
      <c r="D51" s="92"/>
      <c r="E51" s="116" t="str">
        <f aca="false">IF($B51="","",IF(COUNTIF(Lijsten!$A$6:$A$12,$B51)&gt;0,"Inkomst","Uitgave"))</f>
        <v/>
      </c>
      <c r="F51" s="102"/>
      <c r="G51" s="105"/>
      <c r="H51" s="116" t="str">
        <f aca="false">IF($A51="","",YEAR($A51)*100+MONTH($A51))</f>
        <v/>
      </c>
    </row>
    <row r="52" customFormat="false" ht="15" hidden="false" customHeight="false" outlineLevel="0" collapsed="false">
      <c r="A52" s="115"/>
      <c r="B52" s="102"/>
      <c r="C52" s="102"/>
      <c r="D52" s="92"/>
      <c r="E52" s="116" t="str">
        <f aca="false">IF($B52="","",IF(COUNTIF(Lijsten!$A$6:$A$12,$B52)&gt;0,"Inkomst","Uitgave"))</f>
        <v/>
      </c>
      <c r="F52" s="102"/>
      <c r="G52" s="105"/>
      <c r="H52" s="116" t="str">
        <f aca="false">IF($A52="","",YEAR($A52)*100+MONTH($A52))</f>
        <v/>
      </c>
    </row>
    <row r="53" customFormat="false" ht="15" hidden="false" customHeight="false" outlineLevel="0" collapsed="false">
      <c r="A53" s="115"/>
      <c r="B53" s="102"/>
      <c r="C53" s="102"/>
      <c r="D53" s="92"/>
      <c r="E53" s="116" t="str">
        <f aca="false">IF($B53="","",IF(COUNTIF(Lijsten!$A$6:$A$12,$B53)&gt;0,"Inkomst","Uitgave"))</f>
        <v/>
      </c>
      <c r="F53" s="102"/>
      <c r="G53" s="105"/>
      <c r="H53" s="116" t="str">
        <f aca="false">IF($A53="","",YEAR($A53)*100+MONTH($A53))</f>
        <v/>
      </c>
    </row>
    <row r="54" customFormat="false" ht="15" hidden="false" customHeight="false" outlineLevel="0" collapsed="false">
      <c r="A54" s="115"/>
      <c r="B54" s="102"/>
      <c r="C54" s="102"/>
      <c r="D54" s="92"/>
      <c r="E54" s="116" t="str">
        <f aca="false">IF($B54="","",IF(COUNTIF(Lijsten!$A$6:$A$12,$B54)&gt;0,"Inkomst","Uitgave"))</f>
        <v/>
      </c>
      <c r="F54" s="102"/>
      <c r="G54" s="105"/>
      <c r="H54" s="116" t="str">
        <f aca="false">IF($A54="","",YEAR($A54)*100+MONTH($A54))</f>
        <v/>
      </c>
    </row>
    <row r="55" customFormat="false" ht="15" hidden="false" customHeight="false" outlineLevel="0" collapsed="false">
      <c r="A55" s="115"/>
      <c r="B55" s="102"/>
      <c r="C55" s="102"/>
      <c r="D55" s="92"/>
      <c r="E55" s="116" t="str">
        <f aca="false">IF($B55="","",IF(COUNTIF(Lijsten!$A$6:$A$12,$B55)&gt;0,"Inkomst","Uitgave"))</f>
        <v/>
      </c>
      <c r="F55" s="102"/>
      <c r="G55" s="105"/>
      <c r="H55" s="116" t="str">
        <f aca="false">IF($A55="","",YEAR($A55)*100+MONTH($A55))</f>
        <v/>
      </c>
    </row>
    <row r="56" customFormat="false" ht="15" hidden="false" customHeight="false" outlineLevel="0" collapsed="false">
      <c r="A56" s="115"/>
      <c r="B56" s="102"/>
      <c r="C56" s="102"/>
      <c r="D56" s="92"/>
      <c r="E56" s="116" t="str">
        <f aca="false">IF($B56="","",IF(COUNTIF(Lijsten!$A$6:$A$12,$B56)&gt;0,"Inkomst","Uitgave"))</f>
        <v/>
      </c>
      <c r="F56" s="102"/>
      <c r="G56" s="105"/>
      <c r="H56" s="116" t="str">
        <f aca="false">IF($A56="","",YEAR($A56)*100+MONTH($A56))</f>
        <v/>
      </c>
    </row>
    <row r="57" customFormat="false" ht="15" hidden="false" customHeight="false" outlineLevel="0" collapsed="false">
      <c r="A57" s="115"/>
      <c r="B57" s="102"/>
      <c r="C57" s="102"/>
      <c r="D57" s="92"/>
      <c r="E57" s="116" t="str">
        <f aca="false">IF($B57="","",IF(COUNTIF(Lijsten!$A$6:$A$12,$B57)&gt;0,"Inkomst","Uitgave"))</f>
        <v/>
      </c>
      <c r="F57" s="102"/>
      <c r="G57" s="105"/>
      <c r="H57" s="116" t="str">
        <f aca="false">IF($A57="","",YEAR($A57)*100+MONTH($A57))</f>
        <v/>
      </c>
    </row>
    <row r="58" customFormat="false" ht="15" hidden="false" customHeight="false" outlineLevel="0" collapsed="false">
      <c r="A58" s="115"/>
      <c r="B58" s="102"/>
      <c r="C58" s="102"/>
      <c r="D58" s="92"/>
      <c r="E58" s="116" t="str">
        <f aca="false">IF($B58="","",IF(COUNTIF(Lijsten!$A$6:$A$12,$B58)&gt;0,"Inkomst","Uitgave"))</f>
        <v/>
      </c>
      <c r="F58" s="102"/>
      <c r="G58" s="105"/>
      <c r="H58" s="116" t="str">
        <f aca="false">IF($A58="","",YEAR($A58)*100+MONTH($A58))</f>
        <v/>
      </c>
    </row>
    <row r="59" customFormat="false" ht="15" hidden="false" customHeight="false" outlineLevel="0" collapsed="false">
      <c r="A59" s="115"/>
      <c r="B59" s="102"/>
      <c r="C59" s="102"/>
      <c r="D59" s="92"/>
      <c r="E59" s="116" t="str">
        <f aca="false">IF($B59="","",IF(COUNTIF(Lijsten!$A$6:$A$12,$B59)&gt;0,"Inkomst","Uitgave"))</f>
        <v/>
      </c>
      <c r="F59" s="102"/>
      <c r="G59" s="105"/>
      <c r="H59" s="116" t="str">
        <f aca="false">IF($A59="","",YEAR($A59)*100+MONTH($A59))</f>
        <v/>
      </c>
    </row>
    <row r="60" customFormat="false" ht="15" hidden="false" customHeight="false" outlineLevel="0" collapsed="false">
      <c r="A60" s="115"/>
      <c r="B60" s="102"/>
      <c r="C60" s="102"/>
      <c r="D60" s="92"/>
      <c r="E60" s="116" t="str">
        <f aca="false">IF($B60="","",IF(COUNTIF(Lijsten!$A$6:$A$12,$B60)&gt;0,"Inkomst","Uitgave"))</f>
        <v/>
      </c>
      <c r="F60" s="102"/>
      <c r="G60" s="105"/>
      <c r="H60" s="116" t="str">
        <f aca="false">IF($A60="","",YEAR($A60)*100+MONTH($A60))</f>
        <v/>
      </c>
    </row>
    <row r="61" customFormat="false" ht="15" hidden="false" customHeight="false" outlineLevel="0" collapsed="false">
      <c r="A61" s="115"/>
      <c r="B61" s="102"/>
      <c r="C61" s="102"/>
      <c r="D61" s="92"/>
      <c r="E61" s="116" t="str">
        <f aca="false">IF($B61="","",IF(COUNTIF(Lijsten!$A$6:$A$12,$B61)&gt;0,"Inkomst","Uitgave"))</f>
        <v/>
      </c>
      <c r="F61" s="102"/>
      <c r="G61" s="105"/>
      <c r="H61" s="116" t="str">
        <f aca="false">IF($A61="","",YEAR($A61)*100+MONTH($A61))</f>
        <v/>
      </c>
    </row>
    <row r="62" customFormat="false" ht="15" hidden="false" customHeight="false" outlineLevel="0" collapsed="false">
      <c r="A62" s="115"/>
      <c r="B62" s="102"/>
      <c r="C62" s="102"/>
      <c r="D62" s="92"/>
      <c r="E62" s="116" t="str">
        <f aca="false">IF($B62="","",IF(COUNTIF(Lijsten!$A$6:$A$12,$B62)&gt;0,"Inkomst","Uitgave"))</f>
        <v/>
      </c>
      <c r="F62" s="102"/>
      <c r="G62" s="105"/>
      <c r="H62" s="116" t="str">
        <f aca="false">IF($A62="","",YEAR($A62)*100+MONTH($A62))</f>
        <v/>
      </c>
    </row>
    <row r="63" customFormat="false" ht="15" hidden="false" customHeight="false" outlineLevel="0" collapsed="false">
      <c r="A63" s="115"/>
      <c r="B63" s="102"/>
      <c r="C63" s="102"/>
      <c r="D63" s="92"/>
      <c r="E63" s="116" t="str">
        <f aca="false">IF($B63="","",IF(COUNTIF(Lijsten!$A$6:$A$12,$B63)&gt;0,"Inkomst","Uitgave"))</f>
        <v/>
      </c>
      <c r="F63" s="102"/>
      <c r="G63" s="105"/>
      <c r="H63" s="116" t="str">
        <f aca="false">IF($A63="","",YEAR($A63)*100+MONTH($A63))</f>
        <v/>
      </c>
    </row>
    <row r="64" customFormat="false" ht="15" hidden="false" customHeight="false" outlineLevel="0" collapsed="false">
      <c r="A64" s="115"/>
      <c r="B64" s="102"/>
      <c r="C64" s="102"/>
      <c r="D64" s="92"/>
      <c r="E64" s="116" t="str">
        <f aca="false">IF($B64="","",IF(COUNTIF(Lijsten!$A$6:$A$12,$B64)&gt;0,"Inkomst","Uitgave"))</f>
        <v/>
      </c>
      <c r="F64" s="102"/>
      <c r="G64" s="105"/>
      <c r="H64" s="116" t="str">
        <f aca="false">IF($A64="","",YEAR($A64)*100+MONTH($A64))</f>
        <v/>
      </c>
    </row>
    <row r="65" customFormat="false" ht="15" hidden="false" customHeight="false" outlineLevel="0" collapsed="false">
      <c r="A65" s="115"/>
      <c r="B65" s="102"/>
      <c r="C65" s="102"/>
      <c r="D65" s="92"/>
      <c r="E65" s="116" t="str">
        <f aca="false">IF($B65="","",IF(COUNTIF(Lijsten!$A$6:$A$12,$B65)&gt;0,"Inkomst","Uitgave"))</f>
        <v/>
      </c>
      <c r="F65" s="102"/>
      <c r="G65" s="105"/>
      <c r="H65" s="116" t="str">
        <f aca="false">IF($A65="","",YEAR($A65)*100+MONTH($A65))</f>
        <v/>
      </c>
    </row>
    <row r="66" customFormat="false" ht="15" hidden="false" customHeight="false" outlineLevel="0" collapsed="false">
      <c r="A66" s="115"/>
      <c r="B66" s="102"/>
      <c r="C66" s="102"/>
      <c r="D66" s="92"/>
      <c r="E66" s="116" t="str">
        <f aca="false">IF($B66="","",IF(COUNTIF(Lijsten!$A$6:$A$12,$B66)&gt;0,"Inkomst","Uitgave"))</f>
        <v/>
      </c>
      <c r="F66" s="102"/>
      <c r="G66" s="105"/>
      <c r="H66" s="116" t="str">
        <f aca="false">IF($A66="","",YEAR($A66)*100+MONTH($A66))</f>
        <v/>
      </c>
    </row>
    <row r="67" customFormat="false" ht="15" hidden="false" customHeight="false" outlineLevel="0" collapsed="false">
      <c r="A67" s="115"/>
      <c r="B67" s="102"/>
      <c r="C67" s="102"/>
      <c r="D67" s="92"/>
      <c r="E67" s="116" t="str">
        <f aca="false">IF($B67="","",IF(COUNTIF(Lijsten!$A$6:$A$12,$B67)&gt;0,"Inkomst","Uitgave"))</f>
        <v/>
      </c>
      <c r="F67" s="102"/>
      <c r="G67" s="105"/>
      <c r="H67" s="116" t="str">
        <f aca="false">IF($A67="","",YEAR($A67)*100+MONTH($A67))</f>
        <v/>
      </c>
    </row>
    <row r="68" customFormat="false" ht="15" hidden="false" customHeight="false" outlineLevel="0" collapsed="false">
      <c r="A68" s="115"/>
      <c r="B68" s="102"/>
      <c r="C68" s="102"/>
      <c r="D68" s="92"/>
      <c r="E68" s="116" t="str">
        <f aca="false">IF($B68="","",IF(COUNTIF(Lijsten!$A$6:$A$12,$B68)&gt;0,"Inkomst","Uitgave"))</f>
        <v/>
      </c>
      <c r="F68" s="102"/>
      <c r="G68" s="105"/>
      <c r="H68" s="116" t="str">
        <f aca="false">IF($A68="","",YEAR($A68)*100+MONTH($A68))</f>
        <v/>
      </c>
    </row>
    <row r="69" customFormat="false" ht="15" hidden="false" customHeight="false" outlineLevel="0" collapsed="false">
      <c r="A69" s="115"/>
      <c r="B69" s="102"/>
      <c r="C69" s="102"/>
      <c r="D69" s="92"/>
      <c r="E69" s="116" t="str">
        <f aca="false">IF($B69="","",IF(COUNTIF(Lijsten!$A$6:$A$12,$B69)&gt;0,"Inkomst","Uitgave"))</f>
        <v/>
      </c>
      <c r="F69" s="102"/>
      <c r="G69" s="105"/>
      <c r="H69" s="116" t="str">
        <f aca="false">IF($A69="","",YEAR($A69)*100+MONTH($A69))</f>
        <v/>
      </c>
    </row>
    <row r="70" customFormat="false" ht="15" hidden="false" customHeight="false" outlineLevel="0" collapsed="false">
      <c r="A70" s="115"/>
      <c r="B70" s="102"/>
      <c r="C70" s="102"/>
      <c r="D70" s="92"/>
      <c r="E70" s="116" t="str">
        <f aca="false">IF($B70="","",IF(COUNTIF(Lijsten!$A$6:$A$12,$B70)&gt;0,"Inkomst","Uitgave"))</f>
        <v/>
      </c>
      <c r="F70" s="102"/>
      <c r="G70" s="105"/>
      <c r="H70" s="116" t="str">
        <f aca="false">IF($A70="","",YEAR($A70)*100+MONTH($A70))</f>
        <v/>
      </c>
    </row>
    <row r="71" customFormat="false" ht="15" hidden="false" customHeight="false" outlineLevel="0" collapsed="false">
      <c r="A71" s="115"/>
      <c r="B71" s="102"/>
      <c r="C71" s="102"/>
      <c r="D71" s="92"/>
      <c r="E71" s="116" t="str">
        <f aca="false">IF($B71="","",IF(COUNTIF(Lijsten!$A$6:$A$12,$B71)&gt;0,"Inkomst","Uitgave"))</f>
        <v/>
      </c>
      <c r="F71" s="102"/>
      <c r="G71" s="105"/>
      <c r="H71" s="116" t="str">
        <f aca="false">IF($A71="","",YEAR($A71)*100+MONTH($A71))</f>
        <v/>
      </c>
    </row>
    <row r="72" customFormat="false" ht="15" hidden="false" customHeight="false" outlineLevel="0" collapsed="false">
      <c r="A72" s="115"/>
      <c r="B72" s="102"/>
      <c r="C72" s="102"/>
      <c r="D72" s="92"/>
      <c r="E72" s="116" t="str">
        <f aca="false">IF($B72="","",IF(COUNTIF(Lijsten!$A$6:$A$12,$B72)&gt;0,"Inkomst","Uitgave"))</f>
        <v/>
      </c>
      <c r="F72" s="102"/>
      <c r="G72" s="105"/>
      <c r="H72" s="116" t="str">
        <f aca="false">IF($A72="","",YEAR($A72)*100+MONTH($A72))</f>
        <v/>
      </c>
    </row>
    <row r="73" customFormat="false" ht="15" hidden="false" customHeight="false" outlineLevel="0" collapsed="false">
      <c r="A73" s="115"/>
      <c r="B73" s="102"/>
      <c r="C73" s="102"/>
      <c r="D73" s="92"/>
      <c r="E73" s="116" t="str">
        <f aca="false">IF($B73="","",IF(COUNTIF(Lijsten!$A$6:$A$12,$B73)&gt;0,"Inkomst","Uitgave"))</f>
        <v/>
      </c>
      <c r="F73" s="102"/>
      <c r="G73" s="105"/>
      <c r="H73" s="116" t="str">
        <f aca="false">IF($A73="","",YEAR($A73)*100+MONTH($A73))</f>
        <v/>
      </c>
    </row>
    <row r="74" customFormat="false" ht="15" hidden="false" customHeight="false" outlineLevel="0" collapsed="false">
      <c r="A74" s="115"/>
      <c r="B74" s="102"/>
      <c r="C74" s="102"/>
      <c r="D74" s="92"/>
      <c r="E74" s="116" t="str">
        <f aca="false">IF($B74="","",IF(COUNTIF(Lijsten!$A$6:$A$12,$B74)&gt;0,"Inkomst","Uitgave"))</f>
        <v/>
      </c>
      <c r="F74" s="102"/>
      <c r="G74" s="105"/>
      <c r="H74" s="116" t="str">
        <f aca="false">IF($A74="","",YEAR($A74)*100+MONTH($A74))</f>
        <v/>
      </c>
    </row>
    <row r="75" customFormat="false" ht="15" hidden="false" customHeight="false" outlineLevel="0" collapsed="false">
      <c r="A75" s="115"/>
      <c r="B75" s="102"/>
      <c r="C75" s="102"/>
      <c r="D75" s="92"/>
      <c r="E75" s="116" t="str">
        <f aca="false">IF($B75="","",IF(COUNTIF(Lijsten!$A$6:$A$12,$B75)&gt;0,"Inkomst","Uitgave"))</f>
        <v/>
      </c>
      <c r="F75" s="102"/>
      <c r="G75" s="105"/>
      <c r="H75" s="116" t="str">
        <f aca="false">IF($A75="","",YEAR($A75)*100+MONTH($A75))</f>
        <v/>
      </c>
    </row>
    <row r="76" customFormat="false" ht="15" hidden="false" customHeight="false" outlineLevel="0" collapsed="false">
      <c r="A76" s="115"/>
      <c r="B76" s="102"/>
      <c r="C76" s="102"/>
      <c r="D76" s="92"/>
      <c r="E76" s="116" t="str">
        <f aca="false">IF($B76="","",IF(COUNTIF(Lijsten!$A$6:$A$12,$B76)&gt;0,"Inkomst","Uitgave"))</f>
        <v/>
      </c>
      <c r="F76" s="102"/>
      <c r="G76" s="105"/>
      <c r="H76" s="116" t="str">
        <f aca="false">IF($A76="","",YEAR($A76)*100+MONTH($A76))</f>
        <v/>
      </c>
    </row>
    <row r="77" customFormat="false" ht="15" hidden="false" customHeight="false" outlineLevel="0" collapsed="false">
      <c r="A77" s="115"/>
      <c r="B77" s="102"/>
      <c r="C77" s="102"/>
      <c r="D77" s="92"/>
      <c r="E77" s="116" t="str">
        <f aca="false">IF($B77="","",IF(COUNTIF(Lijsten!$A$6:$A$12,$B77)&gt;0,"Inkomst","Uitgave"))</f>
        <v/>
      </c>
      <c r="F77" s="102"/>
      <c r="G77" s="105"/>
      <c r="H77" s="116" t="str">
        <f aca="false">IF($A77="","",YEAR($A77)*100+MONTH($A77))</f>
        <v/>
      </c>
    </row>
    <row r="78" customFormat="false" ht="15" hidden="false" customHeight="false" outlineLevel="0" collapsed="false">
      <c r="A78" s="115"/>
      <c r="B78" s="102"/>
      <c r="C78" s="102"/>
      <c r="D78" s="92"/>
      <c r="E78" s="116" t="str">
        <f aca="false">IF($B78="","",IF(COUNTIF(Lijsten!$A$6:$A$12,$B78)&gt;0,"Inkomst","Uitgave"))</f>
        <v/>
      </c>
      <c r="F78" s="102"/>
      <c r="G78" s="105"/>
      <c r="H78" s="116" t="str">
        <f aca="false">IF($A78="","",YEAR($A78)*100+MONTH($A78))</f>
        <v/>
      </c>
    </row>
    <row r="79" customFormat="false" ht="15" hidden="false" customHeight="false" outlineLevel="0" collapsed="false">
      <c r="A79" s="115"/>
      <c r="B79" s="102"/>
      <c r="C79" s="102"/>
      <c r="D79" s="92"/>
      <c r="E79" s="116" t="str">
        <f aca="false">IF($B79="","",IF(COUNTIF(Lijsten!$A$6:$A$12,$B79)&gt;0,"Inkomst","Uitgave"))</f>
        <v/>
      </c>
      <c r="F79" s="102"/>
      <c r="G79" s="105"/>
      <c r="H79" s="116" t="str">
        <f aca="false">IF($A79="","",YEAR($A79)*100+MONTH($A79))</f>
        <v/>
      </c>
    </row>
    <row r="80" customFormat="false" ht="15" hidden="false" customHeight="false" outlineLevel="0" collapsed="false">
      <c r="A80" s="115"/>
      <c r="B80" s="102"/>
      <c r="C80" s="102"/>
      <c r="D80" s="92"/>
      <c r="E80" s="116" t="str">
        <f aca="false">IF($B80="","",IF(COUNTIF(Lijsten!$A$6:$A$12,$B80)&gt;0,"Inkomst","Uitgave"))</f>
        <v/>
      </c>
      <c r="F80" s="102"/>
      <c r="G80" s="105"/>
      <c r="H80" s="116" t="str">
        <f aca="false">IF($A80="","",YEAR($A80)*100+MONTH($A80))</f>
        <v/>
      </c>
    </row>
    <row r="81" customFormat="false" ht="15" hidden="false" customHeight="false" outlineLevel="0" collapsed="false">
      <c r="A81" s="115"/>
      <c r="B81" s="102"/>
      <c r="C81" s="102"/>
      <c r="D81" s="92"/>
      <c r="E81" s="116" t="str">
        <f aca="false">IF($B81="","",IF(COUNTIF(Lijsten!$A$6:$A$12,$B81)&gt;0,"Inkomst","Uitgave"))</f>
        <v/>
      </c>
      <c r="F81" s="102"/>
      <c r="G81" s="105"/>
      <c r="H81" s="116" t="str">
        <f aca="false">IF($A81="","",YEAR($A81)*100+MONTH($A81))</f>
        <v/>
      </c>
    </row>
    <row r="82" customFormat="false" ht="15" hidden="false" customHeight="false" outlineLevel="0" collapsed="false">
      <c r="A82" s="115"/>
      <c r="B82" s="102"/>
      <c r="C82" s="102"/>
      <c r="D82" s="92"/>
      <c r="E82" s="116" t="str">
        <f aca="false">IF($B82="","",IF(COUNTIF(Lijsten!$A$6:$A$12,$B82)&gt;0,"Inkomst","Uitgave"))</f>
        <v/>
      </c>
      <c r="F82" s="102"/>
      <c r="G82" s="105"/>
      <c r="H82" s="116" t="str">
        <f aca="false">IF($A82="","",YEAR($A82)*100+MONTH($A82))</f>
        <v/>
      </c>
    </row>
    <row r="83" customFormat="false" ht="15" hidden="false" customHeight="false" outlineLevel="0" collapsed="false">
      <c r="A83" s="115"/>
      <c r="B83" s="102"/>
      <c r="C83" s="102"/>
      <c r="D83" s="92"/>
      <c r="E83" s="116" t="str">
        <f aca="false">IF($B83="","",IF(COUNTIF(Lijsten!$A$6:$A$12,$B83)&gt;0,"Inkomst","Uitgave"))</f>
        <v/>
      </c>
      <c r="F83" s="102"/>
      <c r="G83" s="105"/>
      <c r="H83" s="116" t="str">
        <f aca="false">IF($A83="","",YEAR($A83)*100+MONTH($A83))</f>
        <v/>
      </c>
    </row>
    <row r="84" customFormat="false" ht="15" hidden="false" customHeight="false" outlineLevel="0" collapsed="false">
      <c r="A84" s="115"/>
      <c r="B84" s="102"/>
      <c r="C84" s="102"/>
      <c r="D84" s="92"/>
      <c r="E84" s="116" t="str">
        <f aca="false">IF($B84="","",IF(COUNTIF(Lijsten!$A$6:$A$12,$B84)&gt;0,"Inkomst","Uitgave"))</f>
        <v/>
      </c>
      <c r="F84" s="102"/>
      <c r="G84" s="105"/>
      <c r="H84" s="116" t="str">
        <f aca="false">IF($A84="","",YEAR($A84)*100+MONTH($A84))</f>
        <v/>
      </c>
    </row>
    <row r="85" customFormat="false" ht="15" hidden="false" customHeight="false" outlineLevel="0" collapsed="false">
      <c r="A85" s="115"/>
      <c r="B85" s="102"/>
      <c r="C85" s="102"/>
      <c r="D85" s="92"/>
      <c r="E85" s="116" t="str">
        <f aca="false">IF($B85="","",IF(COUNTIF(Lijsten!$A$6:$A$12,$B85)&gt;0,"Inkomst","Uitgave"))</f>
        <v/>
      </c>
      <c r="F85" s="102"/>
      <c r="G85" s="105"/>
      <c r="H85" s="116" t="str">
        <f aca="false">IF($A85="","",YEAR($A85)*100+MONTH($A85))</f>
        <v/>
      </c>
    </row>
    <row r="86" customFormat="false" ht="15" hidden="false" customHeight="false" outlineLevel="0" collapsed="false">
      <c r="A86" s="115"/>
      <c r="B86" s="102"/>
      <c r="C86" s="102"/>
      <c r="D86" s="92"/>
      <c r="E86" s="116" t="str">
        <f aca="false">IF($B86="","",IF(COUNTIF(Lijsten!$A$6:$A$12,$B86)&gt;0,"Inkomst","Uitgave"))</f>
        <v/>
      </c>
      <c r="F86" s="102"/>
      <c r="G86" s="105"/>
      <c r="H86" s="116" t="str">
        <f aca="false">IF($A86="","",YEAR($A86)*100+MONTH($A86))</f>
        <v/>
      </c>
    </row>
    <row r="87" customFormat="false" ht="15" hidden="false" customHeight="false" outlineLevel="0" collapsed="false">
      <c r="A87" s="115"/>
      <c r="B87" s="102"/>
      <c r="C87" s="102"/>
      <c r="D87" s="92"/>
      <c r="E87" s="116" t="str">
        <f aca="false">IF($B87="","",IF(COUNTIF(Lijsten!$A$6:$A$12,$B87)&gt;0,"Inkomst","Uitgave"))</f>
        <v/>
      </c>
      <c r="F87" s="102"/>
      <c r="G87" s="105"/>
      <c r="H87" s="116" t="str">
        <f aca="false">IF($A87="","",YEAR($A87)*100+MONTH($A87))</f>
        <v/>
      </c>
    </row>
    <row r="88" customFormat="false" ht="15" hidden="false" customHeight="false" outlineLevel="0" collapsed="false">
      <c r="A88" s="115"/>
      <c r="B88" s="102"/>
      <c r="C88" s="102"/>
      <c r="D88" s="92"/>
      <c r="E88" s="116" t="str">
        <f aca="false">IF($B88="","",IF(COUNTIF(Lijsten!$A$6:$A$12,$B88)&gt;0,"Inkomst","Uitgave"))</f>
        <v/>
      </c>
      <c r="F88" s="102"/>
      <c r="G88" s="105"/>
      <c r="H88" s="116" t="str">
        <f aca="false">IF($A88="","",YEAR($A88)*100+MONTH($A88))</f>
        <v/>
      </c>
    </row>
    <row r="89" customFormat="false" ht="15" hidden="false" customHeight="false" outlineLevel="0" collapsed="false">
      <c r="A89" s="115"/>
      <c r="B89" s="102"/>
      <c r="C89" s="102"/>
      <c r="D89" s="92"/>
      <c r="E89" s="116" t="str">
        <f aca="false">IF($B89="","",IF(COUNTIF(Lijsten!$A$6:$A$12,$B89)&gt;0,"Inkomst","Uitgave"))</f>
        <v/>
      </c>
      <c r="F89" s="102"/>
      <c r="G89" s="105"/>
      <c r="H89" s="116" t="str">
        <f aca="false">IF($A89="","",YEAR($A89)*100+MONTH($A89))</f>
        <v/>
      </c>
    </row>
    <row r="90" customFormat="false" ht="15" hidden="false" customHeight="false" outlineLevel="0" collapsed="false">
      <c r="A90" s="115"/>
      <c r="B90" s="102"/>
      <c r="C90" s="102"/>
      <c r="D90" s="92"/>
      <c r="E90" s="116" t="str">
        <f aca="false">IF($B90="","",IF(COUNTIF(Lijsten!$A$6:$A$12,$B90)&gt;0,"Inkomst","Uitgave"))</f>
        <v/>
      </c>
      <c r="F90" s="102"/>
      <c r="G90" s="105"/>
      <c r="H90" s="116" t="str">
        <f aca="false">IF($A90="","",YEAR($A90)*100+MONTH($A90))</f>
        <v/>
      </c>
    </row>
    <row r="91" customFormat="false" ht="15" hidden="false" customHeight="false" outlineLevel="0" collapsed="false">
      <c r="A91" s="115"/>
      <c r="B91" s="102"/>
      <c r="C91" s="102"/>
      <c r="D91" s="92"/>
      <c r="E91" s="116" t="str">
        <f aca="false">IF($B91="","",IF(COUNTIF(Lijsten!$A$6:$A$12,$B91)&gt;0,"Inkomst","Uitgave"))</f>
        <v/>
      </c>
      <c r="F91" s="102"/>
      <c r="G91" s="105"/>
      <c r="H91" s="116" t="str">
        <f aca="false">IF($A91="","",YEAR($A91)*100+MONTH($A91))</f>
        <v/>
      </c>
    </row>
    <row r="92" customFormat="false" ht="15" hidden="false" customHeight="false" outlineLevel="0" collapsed="false">
      <c r="A92" s="115"/>
      <c r="B92" s="102"/>
      <c r="C92" s="102"/>
      <c r="D92" s="92"/>
      <c r="E92" s="116" t="str">
        <f aca="false">IF($B92="","",IF(COUNTIF(Lijsten!$A$6:$A$12,$B92)&gt;0,"Inkomst","Uitgave"))</f>
        <v/>
      </c>
      <c r="F92" s="102"/>
      <c r="G92" s="105"/>
      <c r="H92" s="116" t="str">
        <f aca="false">IF($A92="","",YEAR($A92)*100+MONTH($A92))</f>
        <v/>
      </c>
    </row>
    <row r="93" customFormat="false" ht="15" hidden="false" customHeight="false" outlineLevel="0" collapsed="false">
      <c r="A93" s="115"/>
      <c r="B93" s="102"/>
      <c r="C93" s="102"/>
      <c r="D93" s="92"/>
      <c r="E93" s="116" t="str">
        <f aca="false">IF($B93="","",IF(COUNTIF(Lijsten!$A$6:$A$12,$B93)&gt;0,"Inkomst","Uitgave"))</f>
        <v/>
      </c>
      <c r="F93" s="102"/>
      <c r="G93" s="105"/>
      <c r="H93" s="116" t="str">
        <f aca="false">IF($A93="","",YEAR($A93)*100+MONTH($A93))</f>
        <v/>
      </c>
    </row>
    <row r="94" customFormat="false" ht="15" hidden="false" customHeight="false" outlineLevel="0" collapsed="false">
      <c r="A94" s="115"/>
      <c r="B94" s="102"/>
      <c r="C94" s="102"/>
      <c r="D94" s="92"/>
      <c r="E94" s="116" t="str">
        <f aca="false">IF($B94="","",IF(COUNTIF(Lijsten!$A$6:$A$12,$B94)&gt;0,"Inkomst","Uitgave"))</f>
        <v/>
      </c>
      <c r="F94" s="102"/>
      <c r="G94" s="105"/>
      <c r="H94" s="116" t="str">
        <f aca="false">IF($A94="","",YEAR($A94)*100+MONTH($A94))</f>
        <v/>
      </c>
    </row>
    <row r="95" customFormat="false" ht="15" hidden="false" customHeight="false" outlineLevel="0" collapsed="false">
      <c r="A95" s="115"/>
      <c r="B95" s="102"/>
      <c r="C95" s="102"/>
      <c r="D95" s="92"/>
      <c r="E95" s="116" t="str">
        <f aca="false">IF($B95="","",IF(COUNTIF(Lijsten!$A$6:$A$12,$B95)&gt;0,"Inkomst","Uitgave"))</f>
        <v/>
      </c>
      <c r="F95" s="102"/>
      <c r="G95" s="105"/>
      <c r="H95" s="116" t="str">
        <f aca="false">IF($A95="","",YEAR($A95)*100+MONTH($A95))</f>
        <v/>
      </c>
    </row>
    <row r="96" customFormat="false" ht="15" hidden="false" customHeight="false" outlineLevel="0" collapsed="false">
      <c r="A96" s="115"/>
      <c r="B96" s="102"/>
      <c r="C96" s="102"/>
      <c r="D96" s="92"/>
      <c r="E96" s="116" t="str">
        <f aca="false">IF($B96="","",IF(COUNTIF(Lijsten!$A$6:$A$12,$B96)&gt;0,"Inkomst","Uitgave"))</f>
        <v/>
      </c>
      <c r="F96" s="102"/>
      <c r="G96" s="105"/>
      <c r="H96" s="116" t="str">
        <f aca="false">IF($A96="","",YEAR($A96)*100+MONTH($A96))</f>
        <v/>
      </c>
    </row>
    <row r="97" customFormat="false" ht="15" hidden="false" customHeight="false" outlineLevel="0" collapsed="false">
      <c r="A97" s="115"/>
      <c r="B97" s="102"/>
      <c r="C97" s="102"/>
      <c r="D97" s="92"/>
      <c r="E97" s="116" t="str">
        <f aca="false">IF($B97="","",IF(COUNTIF(Lijsten!$A$6:$A$12,$B97)&gt;0,"Inkomst","Uitgave"))</f>
        <v/>
      </c>
      <c r="F97" s="102"/>
      <c r="G97" s="105"/>
      <c r="H97" s="116" t="str">
        <f aca="false">IF($A97="","",YEAR($A97)*100+MONTH($A97))</f>
        <v/>
      </c>
    </row>
    <row r="98" customFormat="false" ht="15" hidden="false" customHeight="false" outlineLevel="0" collapsed="false">
      <c r="A98" s="115"/>
      <c r="B98" s="102"/>
      <c r="C98" s="102"/>
      <c r="D98" s="92"/>
      <c r="E98" s="116" t="str">
        <f aca="false">IF($B98="","",IF(COUNTIF(Lijsten!$A$6:$A$12,$B98)&gt;0,"Inkomst","Uitgave"))</f>
        <v/>
      </c>
      <c r="F98" s="102"/>
      <c r="G98" s="105"/>
      <c r="H98" s="116" t="str">
        <f aca="false">IF($A98="","",YEAR($A98)*100+MONTH($A98))</f>
        <v/>
      </c>
    </row>
    <row r="99" customFormat="false" ht="15" hidden="false" customHeight="false" outlineLevel="0" collapsed="false">
      <c r="A99" s="115"/>
      <c r="B99" s="102"/>
      <c r="C99" s="102"/>
      <c r="D99" s="92"/>
      <c r="E99" s="116" t="str">
        <f aca="false">IF($B99="","",IF(COUNTIF(Lijsten!$A$6:$A$12,$B99)&gt;0,"Inkomst","Uitgave"))</f>
        <v/>
      </c>
      <c r="F99" s="102"/>
      <c r="G99" s="105"/>
      <c r="H99" s="116" t="str">
        <f aca="false">IF($A99="","",YEAR($A99)*100+MONTH($A99))</f>
        <v/>
      </c>
    </row>
    <row r="100" customFormat="false" ht="15" hidden="false" customHeight="false" outlineLevel="0" collapsed="false">
      <c r="A100" s="115"/>
      <c r="B100" s="102"/>
      <c r="C100" s="102"/>
      <c r="D100" s="92"/>
      <c r="E100" s="116" t="str">
        <f aca="false">IF($B100="","",IF(COUNTIF(Lijsten!$A$6:$A$12,$B100)&gt;0,"Inkomst","Uitgave"))</f>
        <v/>
      </c>
      <c r="F100" s="102"/>
      <c r="G100" s="105"/>
      <c r="H100" s="116" t="str">
        <f aca="false">IF($A100="","",YEAR($A100)*100+MONTH($A100))</f>
        <v/>
      </c>
    </row>
    <row r="101" customFormat="false" ht="15" hidden="false" customHeight="false" outlineLevel="0" collapsed="false">
      <c r="A101" s="115"/>
      <c r="B101" s="102"/>
      <c r="C101" s="102"/>
      <c r="D101" s="92"/>
      <c r="E101" s="116" t="str">
        <f aca="false">IF($B101="","",IF(COUNTIF(Lijsten!$A$6:$A$12,$B101)&gt;0,"Inkomst","Uitgave"))</f>
        <v/>
      </c>
      <c r="F101" s="102"/>
      <c r="G101" s="105"/>
      <c r="H101" s="116" t="str">
        <f aca="false">IF($A101="","",YEAR($A101)*100+MONTH($A101))</f>
        <v/>
      </c>
    </row>
    <row r="102" customFormat="false" ht="15" hidden="false" customHeight="false" outlineLevel="0" collapsed="false">
      <c r="A102" s="115"/>
      <c r="B102" s="102"/>
      <c r="C102" s="102"/>
      <c r="D102" s="92"/>
      <c r="E102" s="116" t="str">
        <f aca="false">IF($B102="","",IF(COUNTIF(Lijsten!$A$6:$A$12,$B102)&gt;0,"Inkomst","Uitgave"))</f>
        <v/>
      </c>
      <c r="F102" s="102"/>
      <c r="G102" s="105"/>
      <c r="H102" s="116" t="str">
        <f aca="false">IF($A102="","",YEAR($A102)*100+MONTH($A102))</f>
        <v/>
      </c>
    </row>
    <row r="103" customFormat="false" ht="15" hidden="false" customHeight="false" outlineLevel="0" collapsed="false">
      <c r="A103" s="115"/>
      <c r="B103" s="102"/>
      <c r="C103" s="102"/>
      <c r="D103" s="92"/>
      <c r="E103" s="116" t="str">
        <f aca="false">IF($B103="","",IF(COUNTIF(Lijsten!$A$6:$A$12,$B103)&gt;0,"Inkomst","Uitgave"))</f>
        <v/>
      </c>
      <c r="F103" s="102"/>
      <c r="G103" s="105"/>
      <c r="H103" s="116" t="str">
        <f aca="false">IF($A103="","",YEAR($A103)*100+MONTH($A103))</f>
        <v/>
      </c>
    </row>
    <row r="104" customFormat="false" ht="15" hidden="false" customHeight="false" outlineLevel="0" collapsed="false">
      <c r="A104" s="115"/>
      <c r="B104" s="102"/>
      <c r="C104" s="102"/>
      <c r="D104" s="92"/>
      <c r="E104" s="116" t="str">
        <f aca="false">IF($B104="","",IF(COUNTIF(Lijsten!$A$6:$A$12,$B104)&gt;0,"Inkomst","Uitgave"))</f>
        <v/>
      </c>
      <c r="F104" s="102"/>
      <c r="G104" s="105"/>
      <c r="H104" s="116" t="str">
        <f aca="false">IF($A104="","",YEAR($A104)*100+MONTH($A104))</f>
        <v/>
      </c>
    </row>
    <row r="105" customFormat="false" ht="15" hidden="false" customHeight="false" outlineLevel="0" collapsed="false">
      <c r="A105" s="115"/>
      <c r="B105" s="102"/>
      <c r="C105" s="102"/>
      <c r="D105" s="92"/>
      <c r="E105" s="116" t="str">
        <f aca="false">IF($B105="","",IF(COUNTIF(Lijsten!$A$6:$A$12,$B105)&gt;0,"Inkomst","Uitgave"))</f>
        <v/>
      </c>
      <c r="F105" s="102"/>
      <c r="G105" s="105"/>
      <c r="H105" s="116" t="str">
        <f aca="false">IF($A105="","",YEAR($A105)*100+MONTH($A105))</f>
        <v/>
      </c>
    </row>
    <row r="106" customFormat="false" ht="15" hidden="false" customHeight="false" outlineLevel="0" collapsed="false">
      <c r="A106" s="115"/>
      <c r="B106" s="102"/>
      <c r="C106" s="102"/>
      <c r="D106" s="92"/>
      <c r="E106" s="116" t="str">
        <f aca="false">IF($B106="","",IF(COUNTIF(Lijsten!$A$6:$A$12,$B106)&gt;0,"Inkomst","Uitgave"))</f>
        <v/>
      </c>
      <c r="F106" s="102"/>
      <c r="G106" s="105"/>
      <c r="H106" s="116" t="str">
        <f aca="false">IF($A106="","",YEAR($A106)*100+MONTH($A106))</f>
        <v/>
      </c>
    </row>
    <row r="107" customFormat="false" ht="15" hidden="false" customHeight="false" outlineLevel="0" collapsed="false">
      <c r="A107" s="115"/>
      <c r="B107" s="102"/>
      <c r="C107" s="102"/>
      <c r="D107" s="92"/>
      <c r="E107" s="116" t="str">
        <f aca="false">IF($B107="","",IF(COUNTIF(Lijsten!$A$6:$A$12,$B107)&gt;0,"Inkomst","Uitgave"))</f>
        <v/>
      </c>
      <c r="F107" s="102"/>
      <c r="G107" s="105"/>
      <c r="H107" s="116" t="str">
        <f aca="false">IF($A107="","",YEAR($A107)*100+MONTH($A107))</f>
        <v/>
      </c>
    </row>
    <row r="108" customFormat="false" ht="15" hidden="false" customHeight="false" outlineLevel="0" collapsed="false">
      <c r="A108" s="115"/>
      <c r="B108" s="102"/>
      <c r="C108" s="102"/>
      <c r="D108" s="92"/>
      <c r="E108" s="116" t="str">
        <f aca="false">IF($B108="","",IF(COUNTIF(Lijsten!$A$6:$A$12,$B108)&gt;0,"Inkomst","Uitgave"))</f>
        <v/>
      </c>
      <c r="F108" s="102"/>
      <c r="G108" s="105"/>
      <c r="H108" s="116" t="str">
        <f aca="false">IF($A108="","",YEAR($A108)*100+MONTH($A108))</f>
        <v/>
      </c>
    </row>
    <row r="109" customFormat="false" ht="15" hidden="false" customHeight="false" outlineLevel="0" collapsed="false">
      <c r="A109" s="115"/>
      <c r="B109" s="102"/>
      <c r="C109" s="102"/>
      <c r="D109" s="92"/>
      <c r="E109" s="116" t="str">
        <f aca="false">IF($B109="","",IF(COUNTIF(Lijsten!$A$6:$A$12,$B109)&gt;0,"Inkomst","Uitgave"))</f>
        <v/>
      </c>
      <c r="F109" s="102"/>
      <c r="G109" s="105"/>
      <c r="H109" s="116" t="str">
        <f aca="false">IF($A109="","",YEAR($A109)*100+MONTH($A109))</f>
        <v/>
      </c>
    </row>
    <row r="110" customFormat="false" ht="15" hidden="false" customHeight="false" outlineLevel="0" collapsed="false">
      <c r="A110" s="115"/>
      <c r="B110" s="102"/>
      <c r="C110" s="102"/>
      <c r="D110" s="92"/>
      <c r="E110" s="116" t="str">
        <f aca="false">IF($B110="","",IF(COUNTIF(Lijsten!$A$6:$A$12,$B110)&gt;0,"Inkomst","Uitgave"))</f>
        <v/>
      </c>
      <c r="F110" s="102"/>
      <c r="G110" s="105"/>
      <c r="H110" s="116" t="str">
        <f aca="false">IF($A110="","",YEAR($A110)*100+MONTH($A110))</f>
        <v/>
      </c>
    </row>
    <row r="111" customFormat="false" ht="15" hidden="false" customHeight="false" outlineLevel="0" collapsed="false">
      <c r="A111" s="115"/>
      <c r="B111" s="102"/>
      <c r="C111" s="102"/>
      <c r="D111" s="92"/>
      <c r="E111" s="116" t="str">
        <f aca="false">IF($B111="","",IF(COUNTIF(Lijsten!$A$6:$A$12,$B111)&gt;0,"Inkomst","Uitgave"))</f>
        <v/>
      </c>
      <c r="F111" s="102"/>
      <c r="G111" s="105"/>
      <c r="H111" s="116" t="str">
        <f aca="false">IF($A111="","",YEAR($A111)*100+MONTH($A111))</f>
        <v/>
      </c>
    </row>
    <row r="112" customFormat="false" ht="15" hidden="false" customHeight="false" outlineLevel="0" collapsed="false">
      <c r="A112" s="115"/>
      <c r="B112" s="102"/>
      <c r="C112" s="102"/>
      <c r="D112" s="92"/>
      <c r="E112" s="116" t="str">
        <f aca="false">IF($B112="","",IF(COUNTIF(Lijsten!$A$6:$A$12,$B112)&gt;0,"Inkomst","Uitgave"))</f>
        <v/>
      </c>
      <c r="F112" s="102"/>
      <c r="G112" s="105"/>
      <c r="H112" s="116" t="str">
        <f aca="false">IF($A112="","",YEAR($A112)*100+MONTH($A112))</f>
        <v/>
      </c>
    </row>
    <row r="113" customFormat="false" ht="15" hidden="false" customHeight="false" outlineLevel="0" collapsed="false">
      <c r="A113" s="115"/>
      <c r="B113" s="102"/>
      <c r="C113" s="102"/>
      <c r="D113" s="92"/>
      <c r="E113" s="116" t="str">
        <f aca="false">IF($B113="","",IF(COUNTIF(Lijsten!$A$6:$A$12,$B113)&gt;0,"Inkomst","Uitgave"))</f>
        <v/>
      </c>
      <c r="F113" s="102"/>
      <c r="G113" s="105"/>
      <c r="H113" s="116" t="str">
        <f aca="false">IF($A113="","",YEAR($A113)*100+MONTH($A113))</f>
        <v/>
      </c>
    </row>
    <row r="114" customFormat="false" ht="15" hidden="false" customHeight="false" outlineLevel="0" collapsed="false">
      <c r="A114" s="115"/>
      <c r="B114" s="102"/>
      <c r="C114" s="102"/>
      <c r="D114" s="92"/>
      <c r="E114" s="116" t="str">
        <f aca="false">IF($B114="","",IF(COUNTIF(Lijsten!$A$6:$A$12,$B114)&gt;0,"Inkomst","Uitgave"))</f>
        <v/>
      </c>
      <c r="F114" s="102"/>
      <c r="G114" s="105"/>
      <c r="H114" s="116" t="str">
        <f aca="false">IF($A114="","",YEAR($A114)*100+MONTH($A114))</f>
        <v/>
      </c>
    </row>
    <row r="115" customFormat="false" ht="15" hidden="false" customHeight="false" outlineLevel="0" collapsed="false">
      <c r="A115" s="115"/>
      <c r="B115" s="102"/>
      <c r="C115" s="102"/>
      <c r="D115" s="92"/>
      <c r="E115" s="116" t="str">
        <f aca="false">IF($B115="","",IF(COUNTIF(Lijsten!$A$6:$A$12,$B115)&gt;0,"Inkomst","Uitgave"))</f>
        <v/>
      </c>
      <c r="F115" s="102"/>
      <c r="G115" s="105"/>
      <c r="H115" s="116" t="str">
        <f aca="false">IF($A115="","",YEAR($A115)*100+MONTH($A115))</f>
        <v/>
      </c>
    </row>
    <row r="116" customFormat="false" ht="15" hidden="false" customHeight="false" outlineLevel="0" collapsed="false">
      <c r="A116" s="115"/>
      <c r="B116" s="102"/>
      <c r="C116" s="102"/>
      <c r="D116" s="92"/>
      <c r="E116" s="116" t="str">
        <f aca="false">IF($B116="","",IF(COUNTIF(Lijsten!$A$6:$A$12,$B116)&gt;0,"Inkomst","Uitgave"))</f>
        <v/>
      </c>
      <c r="F116" s="102"/>
      <c r="G116" s="105"/>
      <c r="H116" s="116" t="str">
        <f aca="false">IF($A116="","",YEAR($A116)*100+MONTH($A116))</f>
        <v/>
      </c>
    </row>
    <row r="117" customFormat="false" ht="15" hidden="false" customHeight="false" outlineLevel="0" collapsed="false">
      <c r="A117" s="115"/>
      <c r="B117" s="102"/>
      <c r="C117" s="102"/>
      <c r="D117" s="92"/>
      <c r="E117" s="116" t="str">
        <f aca="false">IF($B117="","",IF(COUNTIF(Lijsten!$A$6:$A$12,$B117)&gt;0,"Inkomst","Uitgave"))</f>
        <v/>
      </c>
      <c r="F117" s="102"/>
      <c r="G117" s="105"/>
      <c r="H117" s="116" t="str">
        <f aca="false">IF($A117="","",YEAR($A117)*100+MONTH($A117))</f>
        <v/>
      </c>
    </row>
    <row r="118" customFormat="false" ht="15" hidden="false" customHeight="false" outlineLevel="0" collapsed="false">
      <c r="A118" s="115"/>
      <c r="B118" s="102"/>
      <c r="C118" s="102"/>
      <c r="D118" s="92"/>
      <c r="E118" s="116" t="str">
        <f aca="false">IF($B118="","",IF(COUNTIF(Lijsten!$A$6:$A$12,$B118)&gt;0,"Inkomst","Uitgave"))</f>
        <v/>
      </c>
      <c r="F118" s="102"/>
      <c r="G118" s="105"/>
      <c r="H118" s="116" t="str">
        <f aca="false">IF($A118="","",YEAR($A118)*100+MONTH($A118))</f>
        <v/>
      </c>
    </row>
    <row r="119" customFormat="false" ht="15" hidden="false" customHeight="false" outlineLevel="0" collapsed="false">
      <c r="A119" s="115"/>
      <c r="B119" s="102"/>
      <c r="C119" s="102"/>
      <c r="D119" s="92"/>
      <c r="E119" s="116" t="str">
        <f aca="false">IF($B119="","",IF(COUNTIF(Lijsten!$A$6:$A$12,$B119)&gt;0,"Inkomst","Uitgave"))</f>
        <v/>
      </c>
      <c r="F119" s="102"/>
      <c r="G119" s="105"/>
      <c r="H119" s="116" t="str">
        <f aca="false">IF($A119="","",YEAR($A119)*100+MONTH($A119))</f>
        <v/>
      </c>
    </row>
    <row r="120" customFormat="false" ht="15" hidden="false" customHeight="false" outlineLevel="0" collapsed="false">
      <c r="A120" s="115"/>
      <c r="B120" s="102"/>
      <c r="C120" s="102"/>
      <c r="D120" s="92"/>
      <c r="E120" s="116" t="str">
        <f aca="false">IF($B120="","",IF(COUNTIF(Lijsten!$A$6:$A$12,$B120)&gt;0,"Inkomst","Uitgave"))</f>
        <v/>
      </c>
      <c r="F120" s="102"/>
      <c r="G120" s="105"/>
      <c r="H120" s="116" t="str">
        <f aca="false">IF($A120="","",YEAR($A120)*100+MONTH($A120))</f>
        <v/>
      </c>
    </row>
    <row r="121" customFormat="false" ht="15" hidden="false" customHeight="false" outlineLevel="0" collapsed="false">
      <c r="A121" s="115"/>
      <c r="B121" s="102"/>
      <c r="C121" s="102"/>
      <c r="D121" s="92"/>
      <c r="E121" s="116" t="str">
        <f aca="false">IF($B121="","",IF(COUNTIF(Lijsten!$A$6:$A$12,$B121)&gt;0,"Inkomst","Uitgave"))</f>
        <v/>
      </c>
      <c r="F121" s="102"/>
      <c r="G121" s="105"/>
      <c r="H121" s="116" t="str">
        <f aca="false">IF($A121="","",YEAR($A121)*100+MONTH($A121))</f>
        <v/>
      </c>
    </row>
    <row r="122" customFormat="false" ht="15" hidden="false" customHeight="false" outlineLevel="0" collapsed="false">
      <c r="A122" s="115"/>
      <c r="B122" s="102"/>
      <c r="C122" s="102"/>
      <c r="D122" s="92"/>
      <c r="E122" s="116" t="str">
        <f aca="false">IF($B122="","",IF(COUNTIF(Lijsten!$A$6:$A$12,$B122)&gt;0,"Inkomst","Uitgave"))</f>
        <v/>
      </c>
      <c r="F122" s="102"/>
      <c r="G122" s="105"/>
      <c r="H122" s="116" t="str">
        <f aca="false">IF($A122="","",YEAR($A122)*100+MONTH($A122))</f>
        <v/>
      </c>
    </row>
    <row r="123" customFormat="false" ht="15" hidden="false" customHeight="false" outlineLevel="0" collapsed="false">
      <c r="A123" s="115"/>
      <c r="B123" s="102"/>
      <c r="C123" s="102"/>
      <c r="D123" s="92"/>
      <c r="E123" s="116" t="str">
        <f aca="false">IF($B123="","",IF(COUNTIF(Lijsten!$A$6:$A$12,$B123)&gt;0,"Inkomst","Uitgave"))</f>
        <v/>
      </c>
      <c r="F123" s="102"/>
      <c r="G123" s="105"/>
      <c r="H123" s="116" t="str">
        <f aca="false">IF($A123="","",YEAR($A123)*100+MONTH($A123))</f>
        <v/>
      </c>
    </row>
    <row r="124" customFormat="false" ht="15" hidden="false" customHeight="false" outlineLevel="0" collapsed="false">
      <c r="A124" s="115"/>
      <c r="B124" s="102"/>
      <c r="C124" s="102"/>
      <c r="D124" s="92"/>
      <c r="E124" s="116" t="str">
        <f aca="false">IF($B124="","",IF(COUNTIF(Lijsten!$A$6:$A$12,$B124)&gt;0,"Inkomst","Uitgave"))</f>
        <v/>
      </c>
      <c r="F124" s="102"/>
      <c r="G124" s="105"/>
      <c r="H124" s="116" t="str">
        <f aca="false">IF($A124="","",YEAR($A124)*100+MONTH($A124))</f>
        <v/>
      </c>
    </row>
    <row r="125" customFormat="false" ht="15" hidden="false" customHeight="false" outlineLevel="0" collapsed="false">
      <c r="A125" s="115"/>
      <c r="B125" s="102"/>
      <c r="C125" s="102"/>
      <c r="D125" s="92"/>
      <c r="E125" s="116" t="str">
        <f aca="false">IF($B125="","",IF(COUNTIF(Lijsten!$A$6:$A$12,$B125)&gt;0,"Inkomst","Uitgave"))</f>
        <v/>
      </c>
      <c r="F125" s="102"/>
      <c r="G125" s="105"/>
      <c r="H125" s="116" t="str">
        <f aca="false">IF($A125="","",YEAR($A125)*100+MONTH($A125))</f>
        <v/>
      </c>
    </row>
    <row r="126" customFormat="false" ht="15" hidden="false" customHeight="false" outlineLevel="0" collapsed="false">
      <c r="A126" s="115"/>
      <c r="B126" s="102"/>
      <c r="C126" s="102"/>
      <c r="D126" s="92"/>
      <c r="E126" s="116" t="str">
        <f aca="false">IF($B126="","",IF(COUNTIF(Lijsten!$A$6:$A$12,$B126)&gt;0,"Inkomst","Uitgave"))</f>
        <v/>
      </c>
      <c r="F126" s="102"/>
      <c r="G126" s="105"/>
      <c r="H126" s="116" t="str">
        <f aca="false">IF($A126="","",YEAR($A126)*100+MONTH($A126))</f>
        <v/>
      </c>
    </row>
    <row r="127" customFormat="false" ht="15" hidden="false" customHeight="false" outlineLevel="0" collapsed="false">
      <c r="A127" s="115"/>
      <c r="B127" s="102"/>
      <c r="C127" s="102"/>
      <c r="D127" s="92"/>
      <c r="E127" s="116" t="str">
        <f aca="false">IF($B127="","",IF(COUNTIF(Lijsten!$A$6:$A$12,$B127)&gt;0,"Inkomst","Uitgave"))</f>
        <v/>
      </c>
      <c r="F127" s="102"/>
      <c r="G127" s="105"/>
      <c r="H127" s="116" t="str">
        <f aca="false">IF($A127="","",YEAR($A127)*100+MONTH($A127))</f>
        <v/>
      </c>
    </row>
    <row r="128" customFormat="false" ht="15" hidden="false" customHeight="false" outlineLevel="0" collapsed="false">
      <c r="A128" s="115"/>
      <c r="B128" s="102"/>
      <c r="C128" s="102"/>
      <c r="D128" s="92"/>
      <c r="E128" s="116" t="str">
        <f aca="false">IF($B128="","",IF(COUNTIF(Lijsten!$A$6:$A$12,$B128)&gt;0,"Inkomst","Uitgave"))</f>
        <v/>
      </c>
      <c r="F128" s="102"/>
      <c r="G128" s="105"/>
      <c r="H128" s="116" t="str">
        <f aca="false">IF($A128="","",YEAR($A128)*100+MONTH($A128))</f>
        <v/>
      </c>
    </row>
    <row r="129" customFormat="false" ht="15" hidden="false" customHeight="false" outlineLevel="0" collapsed="false">
      <c r="A129" s="115"/>
      <c r="B129" s="102"/>
      <c r="C129" s="102"/>
      <c r="D129" s="92"/>
      <c r="E129" s="116" t="str">
        <f aca="false">IF($B129="","",IF(COUNTIF(Lijsten!$A$6:$A$12,$B129)&gt;0,"Inkomst","Uitgave"))</f>
        <v/>
      </c>
      <c r="F129" s="102"/>
      <c r="G129" s="105"/>
      <c r="H129" s="116" t="str">
        <f aca="false">IF($A129="","",YEAR($A129)*100+MONTH($A129))</f>
        <v/>
      </c>
    </row>
    <row r="130" customFormat="false" ht="15" hidden="false" customHeight="false" outlineLevel="0" collapsed="false">
      <c r="A130" s="115"/>
      <c r="B130" s="102"/>
      <c r="C130" s="102"/>
      <c r="D130" s="92"/>
      <c r="E130" s="116" t="str">
        <f aca="false">IF($B130="","",IF(COUNTIF(Lijsten!$A$6:$A$12,$B130)&gt;0,"Inkomst","Uitgave"))</f>
        <v/>
      </c>
      <c r="F130" s="102"/>
      <c r="G130" s="105"/>
      <c r="H130" s="116" t="str">
        <f aca="false">IF($A130="","",YEAR($A130)*100+MONTH($A130))</f>
        <v/>
      </c>
    </row>
    <row r="131" customFormat="false" ht="15" hidden="false" customHeight="false" outlineLevel="0" collapsed="false">
      <c r="A131" s="115"/>
      <c r="B131" s="102"/>
      <c r="C131" s="102"/>
      <c r="D131" s="92"/>
      <c r="E131" s="116" t="str">
        <f aca="false">IF($B131="","",IF(COUNTIF(Lijsten!$A$6:$A$12,$B131)&gt;0,"Inkomst","Uitgave"))</f>
        <v/>
      </c>
      <c r="F131" s="102"/>
      <c r="G131" s="105"/>
      <c r="H131" s="116" t="str">
        <f aca="false">IF($A131="","",YEAR($A131)*100+MONTH($A131))</f>
        <v/>
      </c>
    </row>
    <row r="132" customFormat="false" ht="15" hidden="false" customHeight="false" outlineLevel="0" collapsed="false">
      <c r="A132" s="115"/>
      <c r="B132" s="102"/>
      <c r="C132" s="102"/>
      <c r="D132" s="92"/>
      <c r="E132" s="116" t="str">
        <f aca="false">IF($B132="","",IF(COUNTIF(Lijsten!$A$6:$A$12,$B132)&gt;0,"Inkomst","Uitgave"))</f>
        <v/>
      </c>
      <c r="F132" s="102"/>
      <c r="G132" s="105"/>
      <c r="H132" s="116" t="str">
        <f aca="false">IF($A132="","",YEAR($A132)*100+MONTH($A132))</f>
        <v/>
      </c>
    </row>
    <row r="133" customFormat="false" ht="15" hidden="false" customHeight="false" outlineLevel="0" collapsed="false">
      <c r="A133" s="115"/>
      <c r="B133" s="102"/>
      <c r="C133" s="102"/>
      <c r="D133" s="92"/>
      <c r="E133" s="116" t="str">
        <f aca="false">IF($B133="","",IF(COUNTIF(Lijsten!$A$6:$A$12,$B133)&gt;0,"Inkomst","Uitgave"))</f>
        <v/>
      </c>
      <c r="F133" s="102"/>
      <c r="G133" s="105"/>
      <c r="H133" s="116" t="str">
        <f aca="false">IF($A133="","",YEAR($A133)*100+MONTH($A133))</f>
        <v/>
      </c>
    </row>
    <row r="134" customFormat="false" ht="15" hidden="false" customHeight="false" outlineLevel="0" collapsed="false">
      <c r="A134" s="115"/>
      <c r="B134" s="102"/>
      <c r="C134" s="102"/>
      <c r="D134" s="92"/>
      <c r="E134" s="116" t="str">
        <f aca="false">IF($B134="","",IF(COUNTIF(Lijsten!$A$6:$A$12,$B134)&gt;0,"Inkomst","Uitgave"))</f>
        <v/>
      </c>
      <c r="F134" s="102"/>
      <c r="G134" s="105"/>
      <c r="H134" s="116" t="str">
        <f aca="false">IF($A134="","",YEAR($A134)*100+MONTH($A134))</f>
        <v/>
      </c>
    </row>
    <row r="135" customFormat="false" ht="15" hidden="false" customHeight="false" outlineLevel="0" collapsed="false">
      <c r="A135" s="115"/>
      <c r="B135" s="102"/>
      <c r="C135" s="102"/>
      <c r="D135" s="92"/>
      <c r="E135" s="116" t="str">
        <f aca="false">IF($B135="","",IF(COUNTIF(Lijsten!$A$6:$A$12,$B135)&gt;0,"Inkomst","Uitgave"))</f>
        <v/>
      </c>
      <c r="F135" s="102"/>
      <c r="G135" s="105"/>
      <c r="H135" s="116" t="str">
        <f aca="false">IF($A135="","",YEAR($A135)*100+MONTH($A135))</f>
        <v/>
      </c>
    </row>
    <row r="136" customFormat="false" ht="15" hidden="false" customHeight="false" outlineLevel="0" collapsed="false">
      <c r="A136" s="115"/>
      <c r="B136" s="102"/>
      <c r="C136" s="102"/>
      <c r="D136" s="92"/>
      <c r="E136" s="116" t="str">
        <f aca="false">IF($B136="","",IF(COUNTIF(Lijsten!$A$6:$A$12,$B136)&gt;0,"Inkomst","Uitgave"))</f>
        <v/>
      </c>
      <c r="F136" s="102"/>
      <c r="G136" s="105"/>
      <c r="H136" s="116" t="str">
        <f aca="false">IF($A136="","",YEAR($A136)*100+MONTH($A136))</f>
        <v/>
      </c>
    </row>
    <row r="137" customFormat="false" ht="15" hidden="false" customHeight="false" outlineLevel="0" collapsed="false">
      <c r="A137" s="115"/>
      <c r="B137" s="102"/>
      <c r="C137" s="102"/>
      <c r="D137" s="92"/>
      <c r="E137" s="116" t="str">
        <f aca="false">IF($B137="","",IF(COUNTIF(Lijsten!$A$6:$A$12,$B137)&gt;0,"Inkomst","Uitgave"))</f>
        <v/>
      </c>
      <c r="F137" s="102"/>
      <c r="G137" s="105"/>
      <c r="H137" s="116" t="str">
        <f aca="false">IF($A137="","",YEAR($A137)*100+MONTH($A137))</f>
        <v/>
      </c>
    </row>
    <row r="138" customFormat="false" ht="15" hidden="false" customHeight="false" outlineLevel="0" collapsed="false">
      <c r="A138" s="115"/>
      <c r="B138" s="102"/>
      <c r="C138" s="102"/>
      <c r="D138" s="92"/>
      <c r="E138" s="116" t="str">
        <f aca="false">IF($B138="","",IF(COUNTIF(Lijsten!$A$6:$A$12,$B138)&gt;0,"Inkomst","Uitgave"))</f>
        <v/>
      </c>
      <c r="F138" s="102"/>
      <c r="G138" s="105"/>
      <c r="H138" s="116" t="str">
        <f aca="false">IF($A138="","",YEAR($A138)*100+MONTH($A138))</f>
        <v/>
      </c>
    </row>
    <row r="139" customFormat="false" ht="15" hidden="false" customHeight="false" outlineLevel="0" collapsed="false">
      <c r="A139" s="115"/>
      <c r="B139" s="102"/>
      <c r="C139" s="102"/>
      <c r="D139" s="92"/>
      <c r="E139" s="116" t="str">
        <f aca="false">IF($B139="","",IF(COUNTIF(Lijsten!$A$6:$A$12,$B139)&gt;0,"Inkomst","Uitgave"))</f>
        <v/>
      </c>
      <c r="F139" s="102"/>
      <c r="G139" s="105"/>
      <c r="H139" s="116" t="str">
        <f aca="false">IF($A139="","",YEAR($A139)*100+MONTH($A139))</f>
        <v/>
      </c>
    </row>
    <row r="140" customFormat="false" ht="15" hidden="false" customHeight="false" outlineLevel="0" collapsed="false">
      <c r="A140" s="115"/>
      <c r="B140" s="102"/>
      <c r="C140" s="102"/>
      <c r="D140" s="92"/>
      <c r="E140" s="116" t="str">
        <f aca="false">IF($B140="","",IF(COUNTIF(Lijsten!$A$6:$A$12,$B140)&gt;0,"Inkomst","Uitgave"))</f>
        <v/>
      </c>
      <c r="F140" s="102"/>
      <c r="G140" s="105"/>
      <c r="H140" s="116" t="str">
        <f aca="false">IF($A140="","",YEAR($A140)*100+MONTH($A140))</f>
        <v/>
      </c>
    </row>
    <row r="141" customFormat="false" ht="15" hidden="false" customHeight="false" outlineLevel="0" collapsed="false">
      <c r="A141" s="115"/>
      <c r="B141" s="102"/>
      <c r="C141" s="102"/>
      <c r="D141" s="92"/>
      <c r="E141" s="116" t="str">
        <f aca="false">IF($B141="","",IF(COUNTIF(Lijsten!$A$6:$A$12,$B141)&gt;0,"Inkomst","Uitgave"))</f>
        <v/>
      </c>
      <c r="F141" s="102"/>
      <c r="G141" s="105"/>
      <c r="H141" s="116" t="str">
        <f aca="false">IF($A141="","",YEAR($A141)*100+MONTH($A141))</f>
        <v/>
      </c>
    </row>
    <row r="142" customFormat="false" ht="15" hidden="false" customHeight="false" outlineLevel="0" collapsed="false">
      <c r="A142" s="115"/>
      <c r="B142" s="102"/>
      <c r="C142" s="102"/>
      <c r="D142" s="92"/>
      <c r="E142" s="116" t="str">
        <f aca="false">IF($B142="","",IF(COUNTIF(Lijsten!$A$6:$A$12,$B142)&gt;0,"Inkomst","Uitgave"))</f>
        <v/>
      </c>
      <c r="F142" s="102"/>
      <c r="G142" s="105"/>
      <c r="H142" s="116" t="str">
        <f aca="false">IF($A142="","",YEAR($A142)*100+MONTH($A142))</f>
        <v/>
      </c>
    </row>
    <row r="143" customFormat="false" ht="15" hidden="false" customHeight="false" outlineLevel="0" collapsed="false">
      <c r="A143" s="115"/>
      <c r="B143" s="102"/>
      <c r="C143" s="102"/>
      <c r="D143" s="92"/>
      <c r="E143" s="116" t="str">
        <f aca="false">IF($B143="","",IF(COUNTIF(Lijsten!$A$6:$A$12,$B143)&gt;0,"Inkomst","Uitgave"))</f>
        <v/>
      </c>
      <c r="F143" s="102"/>
      <c r="G143" s="105"/>
      <c r="H143" s="116" t="str">
        <f aca="false">IF($A143="","",YEAR($A143)*100+MONTH($A143))</f>
        <v/>
      </c>
    </row>
    <row r="144" customFormat="false" ht="15" hidden="false" customHeight="false" outlineLevel="0" collapsed="false">
      <c r="A144" s="115"/>
      <c r="B144" s="102"/>
      <c r="C144" s="102"/>
      <c r="D144" s="92"/>
      <c r="E144" s="116" t="str">
        <f aca="false">IF($B144="","",IF(COUNTIF(Lijsten!$A$6:$A$12,$B144)&gt;0,"Inkomst","Uitgave"))</f>
        <v/>
      </c>
      <c r="F144" s="102"/>
      <c r="G144" s="105"/>
      <c r="H144" s="116" t="str">
        <f aca="false">IF($A144="","",YEAR($A144)*100+MONTH($A144))</f>
        <v/>
      </c>
    </row>
    <row r="145" customFormat="false" ht="15" hidden="false" customHeight="false" outlineLevel="0" collapsed="false">
      <c r="A145" s="115"/>
      <c r="B145" s="102"/>
      <c r="C145" s="102"/>
      <c r="D145" s="92"/>
      <c r="E145" s="116" t="str">
        <f aca="false">IF($B145="","",IF(COUNTIF(Lijsten!$A$6:$A$12,$B145)&gt;0,"Inkomst","Uitgave"))</f>
        <v/>
      </c>
      <c r="F145" s="102"/>
      <c r="G145" s="105"/>
      <c r="H145" s="116" t="str">
        <f aca="false">IF($A145="","",YEAR($A145)*100+MONTH($A145))</f>
        <v/>
      </c>
    </row>
    <row r="146" customFormat="false" ht="15" hidden="false" customHeight="false" outlineLevel="0" collapsed="false">
      <c r="A146" s="115"/>
      <c r="B146" s="102"/>
      <c r="C146" s="102"/>
      <c r="D146" s="92"/>
      <c r="E146" s="116" t="str">
        <f aca="false">IF($B146="","",IF(COUNTIF(Lijsten!$A$6:$A$12,$B146)&gt;0,"Inkomst","Uitgave"))</f>
        <v/>
      </c>
      <c r="F146" s="102"/>
      <c r="G146" s="105"/>
      <c r="H146" s="116" t="str">
        <f aca="false">IF($A146="","",YEAR($A146)*100+MONTH($A146))</f>
        <v/>
      </c>
    </row>
    <row r="147" customFormat="false" ht="15" hidden="false" customHeight="false" outlineLevel="0" collapsed="false">
      <c r="A147" s="115"/>
      <c r="B147" s="102"/>
      <c r="C147" s="102"/>
      <c r="D147" s="92"/>
      <c r="E147" s="116" t="str">
        <f aca="false">IF($B147="","",IF(COUNTIF(Lijsten!$A$6:$A$12,$B147)&gt;0,"Inkomst","Uitgave"))</f>
        <v/>
      </c>
      <c r="F147" s="102"/>
      <c r="G147" s="105"/>
      <c r="H147" s="116" t="str">
        <f aca="false">IF($A147="","",YEAR($A147)*100+MONTH($A147))</f>
        <v/>
      </c>
    </row>
    <row r="148" customFormat="false" ht="15" hidden="false" customHeight="false" outlineLevel="0" collapsed="false">
      <c r="A148" s="115"/>
      <c r="B148" s="102"/>
      <c r="C148" s="102"/>
      <c r="D148" s="92"/>
      <c r="E148" s="116" t="str">
        <f aca="false">IF($B148="","",IF(COUNTIF(Lijsten!$A$6:$A$12,$B148)&gt;0,"Inkomst","Uitgave"))</f>
        <v/>
      </c>
      <c r="F148" s="102"/>
      <c r="G148" s="105"/>
      <c r="H148" s="116" t="str">
        <f aca="false">IF($A148="","",YEAR($A148)*100+MONTH($A148))</f>
        <v/>
      </c>
    </row>
    <row r="149" customFormat="false" ht="15" hidden="false" customHeight="false" outlineLevel="0" collapsed="false">
      <c r="A149" s="115"/>
      <c r="B149" s="102"/>
      <c r="C149" s="102"/>
      <c r="D149" s="92"/>
      <c r="E149" s="116" t="str">
        <f aca="false">IF($B149="","",IF(COUNTIF(Lijsten!$A$6:$A$12,$B149)&gt;0,"Inkomst","Uitgave"))</f>
        <v/>
      </c>
      <c r="F149" s="102"/>
      <c r="G149" s="105"/>
      <c r="H149" s="116" t="str">
        <f aca="false">IF($A149="","",YEAR($A149)*100+MONTH($A149))</f>
        <v/>
      </c>
    </row>
    <row r="150" customFormat="false" ht="15" hidden="false" customHeight="false" outlineLevel="0" collapsed="false">
      <c r="A150" s="115"/>
      <c r="B150" s="102"/>
      <c r="C150" s="102"/>
      <c r="D150" s="92"/>
      <c r="E150" s="116" t="str">
        <f aca="false">IF($B150="","",IF(COUNTIF(Lijsten!$A$6:$A$12,$B150)&gt;0,"Inkomst","Uitgave"))</f>
        <v/>
      </c>
      <c r="F150" s="102"/>
      <c r="G150" s="105"/>
      <c r="H150" s="116" t="str">
        <f aca="false">IF($A150="","",YEAR($A150)*100+MONTH($A150))</f>
        <v/>
      </c>
    </row>
    <row r="151" customFormat="false" ht="15" hidden="false" customHeight="false" outlineLevel="0" collapsed="false">
      <c r="A151" s="115"/>
      <c r="B151" s="102"/>
      <c r="C151" s="102"/>
      <c r="D151" s="92"/>
      <c r="E151" s="116" t="str">
        <f aca="false">IF($B151="","",IF(COUNTIF(Lijsten!$A$6:$A$12,$B151)&gt;0,"Inkomst","Uitgave"))</f>
        <v/>
      </c>
      <c r="F151" s="102"/>
      <c r="G151" s="105"/>
      <c r="H151" s="116" t="str">
        <f aca="false">IF($A151="","",YEAR($A151)*100+MONTH($A151))</f>
        <v/>
      </c>
    </row>
    <row r="152" customFormat="false" ht="15" hidden="false" customHeight="false" outlineLevel="0" collapsed="false">
      <c r="A152" s="115"/>
      <c r="B152" s="102"/>
      <c r="C152" s="102"/>
      <c r="D152" s="92"/>
      <c r="E152" s="116" t="str">
        <f aca="false">IF($B152="","",IF(COUNTIF(Lijsten!$A$6:$A$12,$B152)&gt;0,"Inkomst","Uitgave"))</f>
        <v/>
      </c>
      <c r="F152" s="102"/>
      <c r="G152" s="105"/>
      <c r="H152" s="116" t="str">
        <f aca="false">IF($A152="","",YEAR($A152)*100+MONTH($A152))</f>
        <v/>
      </c>
    </row>
    <row r="153" customFormat="false" ht="15" hidden="false" customHeight="false" outlineLevel="0" collapsed="false">
      <c r="A153" s="115"/>
      <c r="B153" s="102"/>
      <c r="C153" s="102"/>
      <c r="D153" s="92"/>
      <c r="E153" s="116" t="str">
        <f aca="false">IF($B153="","",IF(COUNTIF(Lijsten!$A$6:$A$12,$B153)&gt;0,"Inkomst","Uitgave"))</f>
        <v/>
      </c>
      <c r="F153" s="102"/>
      <c r="G153" s="105"/>
      <c r="H153" s="116" t="str">
        <f aca="false">IF($A153="","",YEAR($A153)*100+MONTH($A153))</f>
        <v/>
      </c>
    </row>
    <row r="154" customFormat="false" ht="15" hidden="false" customHeight="false" outlineLevel="0" collapsed="false">
      <c r="A154" s="115"/>
      <c r="B154" s="102"/>
      <c r="C154" s="102"/>
      <c r="D154" s="92"/>
      <c r="E154" s="116" t="str">
        <f aca="false">IF($B154="","",IF(COUNTIF(Lijsten!$A$6:$A$12,$B154)&gt;0,"Inkomst","Uitgave"))</f>
        <v/>
      </c>
      <c r="F154" s="102"/>
      <c r="G154" s="105"/>
      <c r="H154" s="116" t="str">
        <f aca="false">IF($A154="","",YEAR($A154)*100+MONTH($A154))</f>
        <v/>
      </c>
    </row>
    <row r="155" customFormat="false" ht="15" hidden="false" customHeight="false" outlineLevel="0" collapsed="false">
      <c r="A155" s="115"/>
      <c r="B155" s="102"/>
      <c r="C155" s="102"/>
      <c r="D155" s="92"/>
      <c r="E155" s="116" t="str">
        <f aca="false">IF($B155="","",IF(COUNTIF(Lijsten!$A$6:$A$12,$B155)&gt;0,"Inkomst","Uitgave"))</f>
        <v/>
      </c>
      <c r="F155" s="102"/>
      <c r="G155" s="105"/>
      <c r="H155" s="116" t="str">
        <f aca="false">IF($A155="","",YEAR($A155)*100+MONTH($A155))</f>
        <v/>
      </c>
    </row>
    <row r="156" customFormat="false" ht="15" hidden="false" customHeight="false" outlineLevel="0" collapsed="false">
      <c r="A156" s="115"/>
      <c r="B156" s="102"/>
      <c r="C156" s="102"/>
      <c r="D156" s="92"/>
      <c r="E156" s="116" t="str">
        <f aca="false">IF($B156="","",IF(COUNTIF(Lijsten!$A$6:$A$12,$B156)&gt;0,"Inkomst","Uitgave"))</f>
        <v/>
      </c>
      <c r="F156" s="102"/>
      <c r="G156" s="105"/>
      <c r="H156" s="116" t="str">
        <f aca="false">IF($A156="","",YEAR($A156)*100+MONTH($A156))</f>
        <v/>
      </c>
    </row>
    <row r="157" customFormat="false" ht="15" hidden="false" customHeight="false" outlineLevel="0" collapsed="false">
      <c r="A157" s="115"/>
      <c r="B157" s="102"/>
      <c r="C157" s="102"/>
      <c r="D157" s="92"/>
      <c r="E157" s="116" t="str">
        <f aca="false">IF($B157="","",IF(COUNTIF(Lijsten!$A$6:$A$12,$B157)&gt;0,"Inkomst","Uitgave"))</f>
        <v/>
      </c>
      <c r="F157" s="102"/>
      <c r="G157" s="105"/>
      <c r="H157" s="116" t="str">
        <f aca="false">IF($A157="","",YEAR($A157)*100+MONTH($A157))</f>
        <v/>
      </c>
    </row>
    <row r="158" customFormat="false" ht="15" hidden="false" customHeight="false" outlineLevel="0" collapsed="false">
      <c r="A158" s="115"/>
      <c r="B158" s="102"/>
      <c r="C158" s="102"/>
      <c r="D158" s="92"/>
      <c r="E158" s="116" t="str">
        <f aca="false">IF($B158="","",IF(COUNTIF(Lijsten!$A$6:$A$12,$B158)&gt;0,"Inkomst","Uitgave"))</f>
        <v/>
      </c>
      <c r="F158" s="102"/>
      <c r="G158" s="105"/>
      <c r="H158" s="116" t="str">
        <f aca="false">IF($A158="","",YEAR($A158)*100+MONTH($A158))</f>
        <v/>
      </c>
    </row>
    <row r="159" customFormat="false" ht="15" hidden="false" customHeight="false" outlineLevel="0" collapsed="false">
      <c r="A159" s="115"/>
      <c r="B159" s="102"/>
      <c r="C159" s="102"/>
      <c r="D159" s="92"/>
      <c r="E159" s="116" t="str">
        <f aca="false">IF($B159="","",IF(COUNTIF(Lijsten!$A$6:$A$12,$B159)&gt;0,"Inkomst","Uitgave"))</f>
        <v/>
      </c>
      <c r="F159" s="102"/>
      <c r="G159" s="105"/>
      <c r="H159" s="116" t="str">
        <f aca="false">IF($A159="","",YEAR($A159)*100+MONTH($A159))</f>
        <v/>
      </c>
    </row>
    <row r="160" customFormat="false" ht="15" hidden="false" customHeight="false" outlineLevel="0" collapsed="false">
      <c r="A160" s="115"/>
      <c r="B160" s="102"/>
      <c r="C160" s="102"/>
      <c r="D160" s="92"/>
      <c r="E160" s="116" t="str">
        <f aca="false">IF($B160="","",IF(COUNTIF(Lijsten!$A$6:$A$12,$B160)&gt;0,"Inkomst","Uitgave"))</f>
        <v/>
      </c>
      <c r="F160" s="102"/>
      <c r="G160" s="105"/>
      <c r="H160" s="116" t="str">
        <f aca="false">IF($A160="","",YEAR($A160)*100+MONTH($A160))</f>
        <v/>
      </c>
    </row>
    <row r="161" customFormat="false" ht="15" hidden="false" customHeight="false" outlineLevel="0" collapsed="false">
      <c r="A161" s="115"/>
      <c r="B161" s="102"/>
      <c r="C161" s="102"/>
      <c r="D161" s="92"/>
      <c r="E161" s="116" t="str">
        <f aca="false">IF($B161="","",IF(COUNTIF(Lijsten!$A$6:$A$12,$B161)&gt;0,"Inkomst","Uitgave"))</f>
        <v/>
      </c>
      <c r="F161" s="102"/>
      <c r="G161" s="105"/>
      <c r="H161" s="116" t="str">
        <f aca="false">IF($A161="","",YEAR($A161)*100+MONTH($A161))</f>
        <v/>
      </c>
    </row>
    <row r="162" customFormat="false" ht="15" hidden="false" customHeight="false" outlineLevel="0" collapsed="false">
      <c r="A162" s="115"/>
      <c r="B162" s="102"/>
      <c r="C162" s="102"/>
      <c r="D162" s="92"/>
      <c r="E162" s="116" t="str">
        <f aca="false">IF($B162="","",IF(COUNTIF(Lijsten!$A$6:$A$12,$B162)&gt;0,"Inkomst","Uitgave"))</f>
        <v/>
      </c>
      <c r="F162" s="102"/>
      <c r="G162" s="105"/>
      <c r="H162" s="116" t="str">
        <f aca="false">IF($A162="","",YEAR($A162)*100+MONTH($A162))</f>
        <v/>
      </c>
    </row>
    <row r="163" customFormat="false" ht="15" hidden="false" customHeight="false" outlineLevel="0" collapsed="false">
      <c r="A163" s="115"/>
      <c r="B163" s="102"/>
      <c r="C163" s="102"/>
      <c r="D163" s="92"/>
      <c r="E163" s="116" t="str">
        <f aca="false">IF($B163="","",IF(COUNTIF(Lijsten!$A$6:$A$12,$B163)&gt;0,"Inkomst","Uitgave"))</f>
        <v/>
      </c>
      <c r="F163" s="102"/>
      <c r="G163" s="105"/>
      <c r="H163" s="116" t="str">
        <f aca="false">IF($A163="","",YEAR($A163)*100+MONTH($A163))</f>
        <v/>
      </c>
    </row>
    <row r="164" customFormat="false" ht="15" hidden="false" customHeight="false" outlineLevel="0" collapsed="false">
      <c r="A164" s="115"/>
      <c r="B164" s="102"/>
      <c r="C164" s="102"/>
      <c r="D164" s="92"/>
      <c r="E164" s="116" t="str">
        <f aca="false">IF($B164="","",IF(COUNTIF(Lijsten!$A$6:$A$12,$B164)&gt;0,"Inkomst","Uitgave"))</f>
        <v/>
      </c>
      <c r="F164" s="102"/>
      <c r="G164" s="105"/>
      <c r="H164" s="116" t="str">
        <f aca="false">IF($A164="","",YEAR($A164)*100+MONTH($A164))</f>
        <v/>
      </c>
    </row>
    <row r="165" customFormat="false" ht="15" hidden="false" customHeight="false" outlineLevel="0" collapsed="false">
      <c r="A165" s="115"/>
      <c r="B165" s="102"/>
      <c r="C165" s="102"/>
      <c r="D165" s="92"/>
      <c r="E165" s="116" t="str">
        <f aca="false">IF($B165="","",IF(COUNTIF(Lijsten!$A$6:$A$12,$B165)&gt;0,"Inkomst","Uitgave"))</f>
        <v/>
      </c>
      <c r="F165" s="102"/>
      <c r="G165" s="105"/>
      <c r="H165" s="116" t="str">
        <f aca="false">IF($A165="","",YEAR($A165)*100+MONTH($A165))</f>
        <v/>
      </c>
    </row>
    <row r="166" customFormat="false" ht="15" hidden="false" customHeight="false" outlineLevel="0" collapsed="false">
      <c r="A166" s="115"/>
      <c r="B166" s="102"/>
      <c r="C166" s="102"/>
      <c r="D166" s="92"/>
      <c r="E166" s="116" t="str">
        <f aca="false">IF($B166="","",IF(COUNTIF(Lijsten!$A$6:$A$12,$B166)&gt;0,"Inkomst","Uitgave"))</f>
        <v/>
      </c>
      <c r="F166" s="102"/>
      <c r="G166" s="105"/>
      <c r="H166" s="116" t="str">
        <f aca="false">IF($A166="","",YEAR($A166)*100+MONTH($A166))</f>
        <v/>
      </c>
    </row>
    <row r="167" customFormat="false" ht="15" hidden="false" customHeight="false" outlineLevel="0" collapsed="false">
      <c r="A167" s="115"/>
      <c r="B167" s="102"/>
      <c r="C167" s="102"/>
      <c r="D167" s="92"/>
      <c r="E167" s="116" t="str">
        <f aca="false">IF($B167="","",IF(COUNTIF(Lijsten!$A$6:$A$12,$B167)&gt;0,"Inkomst","Uitgave"))</f>
        <v/>
      </c>
      <c r="F167" s="102"/>
      <c r="G167" s="105"/>
      <c r="H167" s="116" t="str">
        <f aca="false">IF($A167="","",YEAR($A167)*100+MONTH($A167))</f>
        <v/>
      </c>
    </row>
    <row r="168" customFormat="false" ht="15" hidden="false" customHeight="false" outlineLevel="0" collapsed="false">
      <c r="A168" s="115"/>
      <c r="B168" s="102"/>
      <c r="C168" s="102"/>
      <c r="D168" s="92"/>
      <c r="E168" s="116" t="str">
        <f aca="false">IF($B168="","",IF(COUNTIF(Lijsten!$A$6:$A$12,$B168)&gt;0,"Inkomst","Uitgave"))</f>
        <v/>
      </c>
      <c r="F168" s="102"/>
      <c r="G168" s="105"/>
      <c r="H168" s="116" t="str">
        <f aca="false">IF($A168="","",YEAR($A168)*100+MONTH($A168))</f>
        <v/>
      </c>
    </row>
    <row r="169" customFormat="false" ht="15" hidden="false" customHeight="false" outlineLevel="0" collapsed="false">
      <c r="A169" s="115"/>
      <c r="B169" s="102"/>
      <c r="C169" s="102"/>
      <c r="D169" s="92"/>
      <c r="E169" s="116" t="str">
        <f aca="false">IF($B169="","",IF(COUNTIF(Lijsten!$A$6:$A$12,$B169)&gt;0,"Inkomst","Uitgave"))</f>
        <v/>
      </c>
      <c r="F169" s="102"/>
      <c r="G169" s="105"/>
      <c r="H169" s="116" t="str">
        <f aca="false">IF($A169="","",YEAR($A169)*100+MONTH($A169))</f>
        <v/>
      </c>
    </row>
    <row r="170" customFormat="false" ht="15" hidden="false" customHeight="false" outlineLevel="0" collapsed="false">
      <c r="A170" s="115"/>
      <c r="B170" s="102"/>
      <c r="C170" s="102"/>
      <c r="D170" s="92"/>
      <c r="E170" s="116" t="str">
        <f aca="false">IF($B170="","",IF(COUNTIF(Lijsten!$A$6:$A$12,$B170)&gt;0,"Inkomst","Uitgave"))</f>
        <v/>
      </c>
      <c r="F170" s="102"/>
      <c r="G170" s="105"/>
      <c r="H170" s="116" t="str">
        <f aca="false">IF($A170="","",YEAR($A170)*100+MONTH($A170))</f>
        <v/>
      </c>
    </row>
    <row r="171" customFormat="false" ht="15" hidden="false" customHeight="false" outlineLevel="0" collapsed="false">
      <c r="A171" s="115"/>
      <c r="B171" s="102"/>
      <c r="C171" s="102"/>
      <c r="D171" s="92"/>
      <c r="E171" s="116" t="str">
        <f aca="false">IF($B171="","",IF(COUNTIF(Lijsten!$A$6:$A$12,$B171)&gt;0,"Inkomst","Uitgave"))</f>
        <v/>
      </c>
      <c r="F171" s="102"/>
      <c r="G171" s="105"/>
      <c r="H171" s="116" t="str">
        <f aca="false">IF($A171="","",YEAR($A171)*100+MONTH($A171))</f>
        <v/>
      </c>
    </row>
    <row r="172" customFormat="false" ht="15" hidden="false" customHeight="false" outlineLevel="0" collapsed="false">
      <c r="A172" s="115"/>
      <c r="B172" s="102"/>
      <c r="C172" s="102"/>
      <c r="D172" s="92"/>
      <c r="E172" s="116" t="str">
        <f aca="false">IF($B172="","",IF(COUNTIF(Lijsten!$A$6:$A$12,$B172)&gt;0,"Inkomst","Uitgave"))</f>
        <v/>
      </c>
      <c r="F172" s="102"/>
      <c r="G172" s="105"/>
      <c r="H172" s="116" t="str">
        <f aca="false">IF($A172="","",YEAR($A172)*100+MONTH($A172))</f>
        <v/>
      </c>
    </row>
    <row r="173" customFormat="false" ht="15" hidden="false" customHeight="false" outlineLevel="0" collapsed="false">
      <c r="A173" s="115"/>
      <c r="B173" s="102"/>
      <c r="C173" s="102"/>
      <c r="D173" s="92"/>
      <c r="E173" s="116" t="str">
        <f aca="false">IF($B173="","",IF(COUNTIF(Lijsten!$A$6:$A$12,$B173)&gt;0,"Inkomst","Uitgave"))</f>
        <v/>
      </c>
      <c r="F173" s="102"/>
      <c r="G173" s="105"/>
      <c r="H173" s="116" t="str">
        <f aca="false">IF($A173="","",YEAR($A173)*100+MONTH($A173))</f>
        <v/>
      </c>
    </row>
    <row r="174" customFormat="false" ht="15" hidden="false" customHeight="false" outlineLevel="0" collapsed="false">
      <c r="A174" s="115"/>
      <c r="B174" s="102"/>
      <c r="C174" s="102"/>
      <c r="D174" s="92"/>
      <c r="E174" s="116" t="str">
        <f aca="false">IF($B174="","",IF(COUNTIF(Lijsten!$A$6:$A$12,$B174)&gt;0,"Inkomst","Uitgave"))</f>
        <v/>
      </c>
      <c r="F174" s="102"/>
      <c r="G174" s="105"/>
      <c r="H174" s="116" t="str">
        <f aca="false">IF($A174="","",YEAR($A174)*100+MONTH($A174))</f>
        <v/>
      </c>
    </row>
    <row r="175" customFormat="false" ht="15" hidden="false" customHeight="false" outlineLevel="0" collapsed="false">
      <c r="A175" s="115"/>
      <c r="B175" s="102"/>
      <c r="C175" s="102"/>
      <c r="D175" s="92"/>
      <c r="E175" s="116" t="str">
        <f aca="false">IF($B175="","",IF(COUNTIF(Lijsten!$A$6:$A$12,$B175)&gt;0,"Inkomst","Uitgave"))</f>
        <v/>
      </c>
      <c r="F175" s="102"/>
      <c r="G175" s="105"/>
      <c r="H175" s="116" t="str">
        <f aca="false">IF($A175="","",YEAR($A175)*100+MONTH($A175))</f>
        <v/>
      </c>
    </row>
    <row r="176" customFormat="false" ht="15" hidden="false" customHeight="false" outlineLevel="0" collapsed="false">
      <c r="A176" s="115"/>
      <c r="B176" s="102"/>
      <c r="C176" s="102"/>
      <c r="D176" s="92"/>
      <c r="E176" s="116" t="str">
        <f aca="false">IF($B176="","",IF(COUNTIF(Lijsten!$A$6:$A$12,$B176)&gt;0,"Inkomst","Uitgave"))</f>
        <v/>
      </c>
      <c r="F176" s="102"/>
      <c r="G176" s="105"/>
      <c r="H176" s="116" t="str">
        <f aca="false">IF($A176="","",YEAR($A176)*100+MONTH($A176))</f>
        <v/>
      </c>
    </row>
    <row r="177" customFormat="false" ht="15" hidden="false" customHeight="false" outlineLevel="0" collapsed="false">
      <c r="A177" s="115"/>
      <c r="B177" s="102"/>
      <c r="C177" s="102"/>
      <c r="D177" s="92"/>
      <c r="E177" s="116" t="str">
        <f aca="false">IF($B177="","",IF(COUNTIF(Lijsten!$A$6:$A$12,$B177)&gt;0,"Inkomst","Uitgave"))</f>
        <v/>
      </c>
      <c r="F177" s="102"/>
      <c r="G177" s="105"/>
      <c r="H177" s="116" t="str">
        <f aca="false">IF($A177="","",YEAR($A177)*100+MONTH($A177))</f>
        <v/>
      </c>
    </row>
    <row r="178" customFormat="false" ht="15" hidden="false" customHeight="false" outlineLevel="0" collapsed="false">
      <c r="A178" s="115"/>
      <c r="B178" s="102"/>
      <c r="C178" s="102"/>
      <c r="D178" s="92"/>
      <c r="E178" s="116" t="str">
        <f aca="false">IF($B178="","",IF(COUNTIF(Lijsten!$A$6:$A$12,$B178)&gt;0,"Inkomst","Uitgave"))</f>
        <v/>
      </c>
      <c r="F178" s="102"/>
      <c r="G178" s="105"/>
      <c r="H178" s="116" t="str">
        <f aca="false">IF($A178="","",YEAR($A178)*100+MONTH($A178))</f>
        <v/>
      </c>
    </row>
    <row r="179" customFormat="false" ht="15" hidden="false" customHeight="false" outlineLevel="0" collapsed="false">
      <c r="A179" s="115"/>
      <c r="B179" s="102"/>
      <c r="C179" s="102"/>
      <c r="D179" s="92"/>
      <c r="E179" s="116" t="str">
        <f aca="false">IF($B179="","",IF(COUNTIF(Lijsten!$A$6:$A$12,$B179)&gt;0,"Inkomst","Uitgave"))</f>
        <v/>
      </c>
      <c r="F179" s="102"/>
      <c r="G179" s="105"/>
      <c r="H179" s="116" t="str">
        <f aca="false">IF($A179="","",YEAR($A179)*100+MONTH($A179))</f>
        <v/>
      </c>
    </row>
    <row r="180" customFormat="false" ht="15" hidden="false" customHeight="false" outlineLevel="0" collapsed="false">
      <c r="A180" s="115"/>
      <c r="B180" s="102"/>
      <c r="C180" s="102"/>
      <c r="D180" s="92"/>
      <c r="E180" s="116" t="str">
        <f aca="false">IF($B180="","",IF(COUNTIF(Lijsten!$A$6:$A$12,$B180)&gt;0,"Inkomst","Uitgave"))</f>
        <v/>
      </c>
      <c r="F180" s="102"/>
      <c r="G180" s="105"/>
      <c r="H180" s="116" t="str">
        <f aca="false">IF($A180="","",YEAR($A180)*100+MONTH($A180))</f>
        <v/>
      </c>
    </row>
    <row r="181" customFormat="false" ht="15" hidden="false" customHeight="false" outlineLevel="0" collapsed="false">
      <c r="A181" s="115"/>
      <c r="B181" s="102"/>
      <c r="C181" s="102"/>
      <c r="D181" s="92"/>
      <c r="E181" s="116" t="str">
        <f aca="false">IF($B181="","",IF(COUNTIF(Lijsten!$A$6:$A$12,$B181)&gt;0,"Inkomst","Uitgave"))</f>
        <v/>
      </c>
      <c r="F181" s="102"/>
      <c r="G181" s="105"/>
      <c r="H181" s="116" t="str">
        <f aca="false">IF($A181="","",YEAR($A181)*100+MONTH($A181))</f>
        <v/>
      </c>
    </row>
    <row r="182" customFormat="false" ht="15" hidden="false" customHeight="false" outlineLevel="0" collapsed="false">
      <c r="A182" s="115"/>
      <c r="B182" s="102"/>
      <c r="C182" s="102"/>
      <c r="D182" s="92"/>
      <c r="E182" s="116" t="str">
        <f aca="false">IF($B182="","",IF(COUNTIF(Lijsten!$A$6:$A$12,$B182)&gt;0,"Inkomst","Uitgave"))</f>
        <v/>
      </c>
      <c r="F182" s="102"/>
      <c r="G182" s="105"/>
      <c r="H182" s="116" t="str">
        <f aca="false">IF($A182="","",YEAR($A182)*100+MONTH($A182))</f>
        <v/>
      </c>
    </row>
    <row r="183" customFormat="false" ht="15" hidden="false" customHeight="false" outlineLevel="0" collapsed="false">
      <c r="A183" s="115"/>
      <c r="B183" s="102"/>
      <c r="C183" s="102"/>
      <c r="D183" s="92"/>
      <c r="E183" s="116" t="str">
        <f aca="false">IF($B183="","",IF(COUNTIF(Lijsten!$A$6:$A$12,$B183)&gt;0,"Inkomst","Uitgave"))</f>
        <v/>
      </c>
      <c r="F183" s="102"/>
      <c r="G183" s="105"/>
      <c r="H183" s="116" t="str">
        <f aca="false">IF($A183="","",YEAR($A183)*100+MONTH($A183))</f>
        <v/>
      </c>
    </row>
    <row r="184" customFormat="false" ht="15" hidden="false" customHeight="false" outlineLevel="0" collapsed="false">
      <c r="A184" s="115"/>
      <c r="B184" s="102"/>
      <c r="C184" s="102"/>
      <c r="D184" s="92"/>
      <c r="E184" s="116" t="str">
        <f aca="false">IF($B184="","",IF(COUNTIF(Lijsten!$A$6:$A$12,$B184)&gt;0,"Inkomst","Uitgave"))</f>
        <v/>
      </c>
      <c r="F184" s="102"/>
      <c r="G184" s="105"/>
      <c r="H184" s="116" t="str">
        <f aca="false">IF($A184="","",YEAR($A184)*100+MONTH($A184))</f>
        <v/>
      </c>
    </row>
    <row r="185" customFormat="false" ht="15" hidden="false" customHeight="false" outlineLevel="0" collapsed="false">
      <c r="A185" s="115"/>
      <c r="B185" s="102"/>
      <c r="C185" s="102"/>
      <c r="D185" s="92"/>
      <c r="E185" s="116" t="str">
        <f aca="false">IF($B185="","",IF(COUNTIF(Lijsten!$A$6:$A$12,$B185)&gt;0,"Inkomst","Uitgave"))</f>
        <v/>
      </c>
      <c r="F185" s="102"/>
      <c r="G185" s="105"/>
      <c r="H185" s="116" t="str">
        <f aca="false">IF($A185="","",YEAR($A185)*100+MONTH($A185))</f>
        <v/>
      </c>
    </row>
    <row r="186" customFormat="false" ht="15" hidden="false" customHeight="false" outlineLevel="0" collapsed="false">
      <c r="A186" s="115"/>
      <c r="B186" s="102"/>
      <c r="C186" s="102"/>
      <c r="D186" s="92"/>
      <c r="E186" s="116" t="str">
        <f aca="false">IF($B186="","",IF(COUNTIF(Lijsten!$A$6:$A$12,$B186)&gt;0,"Inkomst","Uitgave"))</f>
        <v/>
      </c>
      <c r="F186" s="102"/>
      <c r="G186" s="105"/>
      <c r="H186" s="116" t="str">
        <f aca="false">IF($A186="","",YEAR($A186)*100+MONTH($A186))</f>
        <v/>
      </c>
    </row>
    <row r="187" customFormat="false" ht="15" hidden="false" customHeight="false" outlineLevel="0" collapsed="false">
      <c r="A187" s="115"/>
      <c r="B187" s="102"/>
      <c r="C187" s="102"/>
      <c r="D187" s="92"/>
      <c r="E187" s="116" t="str">
        <f aca="false">IF($B187="","",IF(COUNTIF(Lijsten!$A$6:$A$12,$B187)&gt;0,"Inkomst","Uitgave"))</f>
        <v/>
      </c>
      <c r="F187" s="102"/>
      <c r="G187" s="105"/>
      <c r="H187" s="116" t="str">
        <f aca="false">IF($A187="","",YEAR($A187)*100+MONTH($A187))</f>
        <v/>
      </c>
    </row>
    <row r="188" customFormat="false" ht="15" hidden="false" customHeight="false" outlineLevel="0" collapsed="false">
      <c r="A188" s="115"/>
      <c r="B188" s="102"/>
      <c r="C188" s="102"/>
      <c r="D188" s="92"/>
      <c r="E188" s="116" t="str">
        <f aca="false">IF($B188="","",IF(COUNTIF(Lijsten!$A$6:$A$12,$B188)&gt;0,"Inkomst","Uitgave"))</f>
        <v/>
      </c>
      <c r="F188" s="102"/>
      <c r="G188" s="105"/>
      <c r="H188" s="116" t="str">
        <f aca="false">IF($A188="","",YEAR($A188)*100+MONTH($A188))</f>
        <v/>
      </c>
    </row>
    <row r="189" customFormat="false" ht="15" hidden="false" customHeight="false" outlineLevel="0" collapsed="false">
      <c r="A189" s="115"/>
      <c r="B189" s="102"/>
      <c r="C189" s="102"/>
      <c r="D189" s="92"/>
      <c r="E189" s="116" t="str">
        <f aca="false">IF($B189="","",IF(COUNTIF(Lijsten!$A$6:$A$12,$B189)&gt;0,"Inkomst","Uitgave"))</f>
        <v/>
      </c>
      <c r="F189" s="102"/>
      <c r="G189" s="105"/>
      <c r="H189" s="116" t="str">
        <f aca="false">IF($A189="","",YEAR($A189)*100+MONTH($A189))</f>
        <v/>
      </c>
    </row>
    <row r="190" customFormat="false" ht="15" hidden="false" customHeight="false" outlineLevel="0" collapsed="false">
      <c r="A190" s="115"/>
      <c r="B190" s="102"/>
      <c r="C190" s="102"/>
      <c r="D190" s="92"/>
      <c r="E190" s="116" t="str">
        <f aca="false">IF($B190="","",IF(COUNTIF(Lijsten!$A$6:$A$12,$B190)&gt;0,"Inkomst","Uitgave"))</f>
        <v/>
      </c>
      <c r="F190" s="102"/>
      <c r="G190" s="105"/>
      <c r="H190" s="116" t="str">
        <f aca="false">IF($A190="","",YEAR($A190)*100+MONTH($A190))</f>
        <v/>
      </c>
    </row>
    <row r="191" customFormat="false" ht="15" hidden="false" customHeight="false" outlineLevel="0" collapsed="false">
      <c r="A191" s="115"/>
      <c r="B191" s="102"/>
      <c r="C191" s="102"/>
      <c r="D191" s="92"/>
      <c r="E191" s="116" t="str">
        <f aca="false">IF($B191="","",IF(COUNTIF(Lijsten!$A$6:$A$12,$B191)&gt;0,"Inkomst","Uitgave"))</f>
        <v/>
      </c>
      <c r="F191" s="102"/>
      <c r="G191" s="105"/>
      <c r="H191" s="116" t="str">
        <f aca="false">IF($A191="","",YEAR($A191)*100+MONTH($A191))</f>
        <v/>
      </c>
    </row>
    <row r="192" customFormat="false" ht="15" hidden="false" customHeight="false" outlineLevel="0" collapsed="false">
      <c r="A192" s="115"/>
      <c r="B192" s="102"/>
      <c r="C192" s="102"/>
      <c r="D192" s="92"/>
      <c r="E192" s="116" t="str">
        <f aca="false">IF($B192="","",IF(COUNTIF(Lijsten!$A$6:$A$12,$B192)&gt;0,"Inkomst","Uitgave"))</f>
        <v/>
      </c>
      <c r="F192" s="102"/>
      <c r="G192" s="105"/>
      <c r="H192" s="116" t="str">
        <f aca="false">IF($A192="","",YEAR($A192)*100+MONTH($A192))</f>
        <v/>
      </c>
    </row>
    <row r="193" customFormat="false" ht="15" hidden="false" customHeight="false" outlineLevel="0" collapsed="false">
      <c r="A193" s="115"/>
      <c r="B193" s="102"/>
      <c r="C193" s="102"/>
      <c r="D193" s="92"/>
      <c r="E193" s="116" t="str">
        <f aca="false">IF($B193="","",IF(COUNTIF(Lijsten!$A$6:$A$12,$B193)&gt;0,"Inkomst","Uitgave"))</f>
        <v/>
      </c>
      <c r="F193" s="102"/>
      <c r="G193" s="105"/>
      <c r="H193" s="116" t="str">
        <f aca="false">IF($A193="","",YEAR($A193)*100+MONTH($A193))</f>
        <v/>
      </c>
    </row>
    <row r="194" customFormat="false" ht="15" hidden="false" customHeight="false" outlineLevel="0" collapsed="false">
      <c r="A194" s="115"/>
      <c r="B194" s="102"/>
      <c r="C194" s="102"/>
      <c r="D194" s="92"/>
      <c r="E194" s="116" t="str">
        <f aca="false">IF($B194="","",IF(COUNTIF(Lijsten!$A$6:$A$12,$B194)&gt;0,"Inkomst","Uitgave"))</f>
        <v/>
      </c>
      <c r="F194" s="102"/>
      <c r="G194" s="105"/>
      <c r="H194" s="116" t="str">
        <f aca="false">IF($A194="","",YEAR($A194)*100+MONTH($A194))</f>
        <v/>
      </c>
    </row>
    <row r="195" customFormat="false" ht="15" hidden="false" customHeight="false" outlineLevel="0" collapsed="false">
      <c r="A195" s="115"/>
      <c r="B195" s="102"/>
      <c r="C195" s="102"/>
      <c r="D195" s="92"/>
      <c r="E195" s="116" t="str">
        <f aca="false">IF($B195="","",IF(COUNTIF(Lijsten!$A$6:$A$12,$B195)&gt;0,"Inkomst","Uitgave"))</f>
        <v/>
      </c>
      <c r="F195" s="102"/>
      <c r="G195" s="105"/>
      <c r="H195" s="116" t="str">
        <f aca="false">IF($A195="","",YEAR($A195)*100+MONTH($A195))</f>
        <v/>
      </c>
    </row>
    <row r="196" customFormat="false" ht="15" hidden="false" customHeight="false" outlineLevel="0" collapsed="false">
      <c r="A196" s="115"/>
      <c r="B196" s="102"/>
      <c r="C196" s="102"/>
      <c r="D196" s="92"/>
      <c r="E196" s="116" t="str">
        <f aca="false">IF($B196="","",IF(COUNTIF(Lijsten!$A$6:$A$12,$B196)&gt;0,"Inkomst","Uitgave"))</f>
        <v/>
      </c>
      <c r="F196" s="102"/>
      <c r="G196" s="105"/>
      <c r="H196" s="116" t="str">
        <f aca="false">IF($A196="","",YEAR($A196)*100+MONTH($A196))</f>
        <v/>
      </c>
    </row>
    <row r="197" customFormat="false" ht="15" hidden="false" customHeight="false" outlineLevel="0" collapsed="false">
      <c r="A197" s="115"/>
      <c r="B197" s="102"/>
      <c r="C197" s="102"/>
      <c r="D197" s="92"/>
      <c r="E197" s="116" t="str">
        <f aca="false">IF($B197="","",IF(COUNTIF(Lijsten!$A$6:$A$12,$B197)&gt;0,"Inkomst","Uitgave"))</f>
        <v/>
      </c>
      <c r="F197" s="102"/>
      <c r="G197" s="105"/>
      <c r="H197" s="116" t="str">
        <f aca="false">IF($A197="","",YEAR($A197)*100+MONTH($A197))</f>
        <v/>
      </c>
    </row>
    <row r="198" customFormat="false" ht="15" hidden="false" customHeight="false" outlineLevel="0" collapsed="false">
      <c r="A198" s="115"/>
      <c r="B198" s="102"/>
      <c r="C198" s="102"/>
      <c r="D198" s="92"/>
      <c r="E198" s="116" t="str">
        <f aca="false">IF($B198="","",IF(COUNTIF(Lijsten!$A$6:$A$12,$B198)&gt;0,"Inkomst","Uitgave"))</f>
        <v/>
      </c>
      <c r="F198" s="102"/>
      <c r="G198" s="105"/>
      <c r="H198" s="116" t="str">
        <f aca="false">IF($A198="","",YEAR($A198)*100+MONTH($A198))</f>
        <v/>
      </c>
    </row>
    <row r="199" customFormat="false" ht="15" hidden="false" customHeight="false" outlineLevel="0" collapsed="false">
      <c r="A199" s="115"/>
      <c r="B199" s="102"/>
      <c r="C199" s="102"/>
      <c r="D199" s="92"/>
      <c r="E199" s="116" t="str">
        <f aca="false">IF($B199="","",IF(COUNTIF(Lijsten!$A$6:$A$12,$B199)&gt;0,"Inkomst","Uitgave"))</f>
        <v/>
      </c>
      <c r="F199" s="102"/>
      <c r="G199" s="105"/>
      <c r="H199" s="116" t="str">
        <f aca="false">IF($A199="","",YEAR($A199)*100+MONTH($A199))</f>
        <v/>
      </c>
    </row>
    <row r="200" customFormat="false" ht="15" hidden="false" customHeight="false" outlineLevel="0" collapsed="false">
      <c r="A200" s="115"/>
      <c r="B200" s="102"/>
      <c r="C200" s="102"/>
      <c r="D200" s="92"/>
      <c r="E200" s="116" t="str">
        <f aca="false">IF($B200="","",IF(COUNTIF(Lijsten!$A$6:$A$12,$B200)&gt;0,"Inkomst","Uitgave"))</f>
        <v/>
      </c>
      <c r="F200" s="102"/>
      <c r="G200" s="105"/>
      <c r="H200" s="116" t="str">
        <f aca="false">IF($A200="","",YEAR($A200)*100+MONTH($A200))</f>
        <v/>
      </c>
    </row>
    <row r="201" customFormat="false" ht="15" hidden="false" customHeight="false" outlineLevel="0" collapsed="false">
      <c r="A201" s="115"/>
      <c r="B201" s="102"/>
      <c r="C201" s="102"/>
      <c r="D201" s="92"/>
      <c r="E201" s="116" t="str">
        <f aca="false">IF($B201="","",IF(COUNTIF(Lijsten!$A$6:$A$12,$B201)&gt;0,"Inkomst","Uitgave"))</f>
        <v/>
      </c>
      <c r="F201" s="102"/>
      <c r="G201" s="105"/>
      <c r="H201" s="116" t="str">
        <f aca="false">IF($A201="","",YEAR($A201)*100+MONTH($A201))</f>
        <v/>
      </c>
    </row>
    <row r="202" customFormat="false" ht="15" hidden="false" customHeight="false" outlineLevel="0" collapsed="false">
      <c r="A202" s="115"/>
      <c r="B202" s="102"/>
      <c r="C202" s="102"/>
      <c r="D202" s="92"/>
      <c r="E202" s="116" t="str">
        <f aca="false">IF($B202="","",IF(COUNTIF(Lijsten!$A$6:$A$12,$B202)&gt;0,"Inkomst","Uitgave"))</f>
        <v/>
      </c>
      <c r="F202" s="102"/>
      <c r="G202" s="105"/>
      <c r="H202" s="116" t="str">
        <f aca="false">IF($A202="","",YEAR($A202)*100+MONTH($A202))</f>
        <v/>
      </c>
    </row>
    <row r="203" customFormat="false" ht="15" hidden="false" customHeight="false" outlineLevel="0" collapsed="false">
      <c r="A203" s="115"/>
      <c r="B203" s="102"/>
      <c r="C203" s="102"/>
      <c r="D203" s="92"/>
      <c r="E203" s="116" t="str">
        <f aca="false">IF($B203="","",IF(COUNTIF(Lijsten!$A$6:$A$12,$B203)&gt;0,"Inkomst","Uitgave"))</f>
        <v/>
      </c>
      <c r="F203" s="102"/>
      <c r="G203" s="105"/>
      <c r="H203" s="116" t="str">
        <f aca="false">IF($A203="","",YEAR($A203)*100+MONTH($A203))</f>
        <v/>
      </c>
    </row>
    <row r="204" customFormat="false" ht="15" hidden="false" customHeight="false" outlineLevel="0" collapsed="false">
      <c r="A204" s="115"/>
      <c r="B204" s="102"/>
      <c r="C204" s="102"/>
      <c r="D204" s="92"/>
      <c r="E204" s="116" t="str">
        <f aca="false">IF($B204="","",IF(COUNTIF(Lijsten!$A$6:$A$12,$B204)&gt;0,"Inkomst","Uitgave"))</f>
        <v/>
      </c>
      <c r="F204" s="102"/>
      <c r="G204" s="105"/>
      <c r="H204" s="116" t="str">
        <f aca="false">IF($A204="","",YEAR($A204)*100+MONTH($A204))</f>
        <v/>
      </c>
    </row>
    <row r="205" customFormat="false" ht="15" hidden="false" customHeight="false" outlineLevel="0" collapsed="false">
      <c r="A205" s="115"/>
      <c r="B205" s="102"/>
      <c r="C205" s="102"/>
      <c r="D205" s="92"/>
      <c r="E205" s="116" t="str">
        <f aca="false">IF($B205="","",IF(COUNTIF(Lijsten!$A$6:$A$12,$B205)&gt;0,"Inkomst","Uitgave"))</f>
        <v/>
      </c>
      <c r="F205" s="102"/>
      <c r="G205" s="105"/>
      <c r="H205" s="116" t="str">
        <f aca="false">IF($A205="","",YEAR($A205)*100+MONTH($A205))</f>
        <v/>
      </c>
    </row>
    <row r="206" customFormat="false" ht="15" hidden="false" customHeight="false" outlineLevel="0" collapsed="false">
      <c r="A206" s="115"/>
      <c r="B206" s="102"/>
      <c r="C206" s="102"/>
      <c r="D206" s="92"/>
      <c r="E206" s="116" t="str">
        <f aca="false">IF($B206="","",IF(COUNTIF(Lijsten!$A$6:$A$12,$B206)&gt;0,"Inkomst","Uitgave"))</f>
        <v/>
      </c>
      <c r="F206" s="102"/>
      <c r="G206" s="105"/>
      <c r="H206" s="116" t="str">
        <f aca="false">IF($A206="","",YEAR($A206)*100+MONTH($A206))</f>
        <v/>
      </c>
    </row>
    <row r="207" customFormat="false" ht="15" hidden="false" customHeight="false" outlineLevel="0" collapsed="false">
      <c r="A207" s="115"/>
      <c r="B207" s="102"/>
      <c r="C207" s="102"/>
      <c r="D207" s="92"/>
      <c r="E207" s="116" t="str">
        <f aca="false">IF($B207="","",IF(COUNTIF(Lijsten!$A$6:$A$12,$B207)&gt;0,"Inkomst","Uitgave"))</f>
        <v/>
      </c>
      <c r="F207" s="102"/>
      <c r="G207" s="105"/>
      <c r="H207" s="116" t="str">
        <f aca="false">IF($A207="","",YEAR($A207)*100+MONTH($A207))</f>
        <v/>
      </c>
    </row>
    <row r="208" customFormat="false" ht="15" hidden="false" customHeight="false" outlineLevel="0" collapsed="false">
      <c r="A208" s="115"/>
      <c r="B208" s="102"/>
      <c r="C208" s="102"/>
      <c r="D208" s="92"/>
      <c r="E208" s="116" t="str">
        <f aca="false">IF($B208="","",IF(COUNTIF(Lijsten!$A$6:$A$12,$B208)&gt;0,"Inkomst","Uitgave"))</f>
        <v/>
      </c>
      <c r="F208" s="102"/>
      <c r="G208" s="105"/>
      <c r="H208" s="116" t="str">
        <f aca="false">IF($A208="","",YEAR($A208)*100+MONTH($A208))</f>
        <v/>
      </c>
    </row>
    <row r="209" customFormat="false" ht="15" hidden="false" customHeight="false" outlineLevel="0" collapsed="false">
      <c r="A209" s="115"/>
      <c r="B209" s="102"/>
      <c r="C209" s="102"/>
      <c r="D209" s="92"/>
      <c r="E209" s="116" t="str">
        <f aca="false">IF($B209="","",IF(COUNTIF(Lijsten!$A$6:$A$12,$B209)&gt;0,"Inkomst","Uitgave"))</f>
        <v/>
      </c>
      <c r="F209" s="102"/>
      <c r="G209" s="105"/>
      <c r="H209" s="116" t="str">
        <f aca="false">IF($A209="","",YEAR($A209)*100+MONTH($A209))</f>
        <v/>
      </c>
    </row>
    <row r="210" customFormat="false" ht="15" hidden="false" customHeight="false" outlineLevel="0" collapsed="false">
      <c r="A210" s="115"/>
      <c r="B210" s="102"/>
      <c r="C210" s="102"/>
      <c r="D210" s="92"/>
      <c r="E210" s="116" t="str">
        <f aca="false">IF($B210="","",IF(COUNTIF(Lijsten!$A$6:$A$12,$B210)&gt;0,"Inkomst","Uitgave"))</f>
        <v/>
      </c>
      <c r="F210" s="102"/>
      <c r="G210" s="105"/>
      <c r="H210" s="116" t="str">
        <f aca="false">IF($A210="","",YEAR($A210)*100+MONTH($A210))</f>
        <v/>
      </c>
    </row>
    <row r="211" customFormat="false" ht="15" hidden="false" customHeight="false" outlineLevel="0" collapsed="false">
      <c r="A211" s="115"/>
      <c r="B211" s="102"/>
      <c r="C211" s="102"/>
      <c r="D211" s="92"/>
      <c r="E211" s="116" t="str">
        <f aca="false">IF($B211="","",IF(COUNTIF(Lijsten!$A$6:$A$12,$B211)&gt;0,"Inkomst","Uitgave"))</f>
        <v/>
      </c>
      <c r="F211" s="102"/>
      <c r="G211" s="105"/>
      <c r="H211" s="116" t="str">
        <f aca="false">IF($A211="","",YEAR($A211)*100+MONTH($A211))</f>
        <v/>
      </c>
    </row>
    <row r="212" customFormat="false" ht="15" hidden="false" customHeight="false" outlineLevel="0" collapsed="false">
      <c r="A212" s="115"/>
      <c r="B212" s="102"/>
      <c r="C212" s="102"/>
      <c r="D212" s="92"/>
      <c r="E212" s="116" t="str">
        <f aca="false">IF($B212="","",IF(COUNTIF(Lijsten!$A$6:$A$12,$B212)&gt;0,"Inkomst","Uitgave"))</f>
        <v/>
      </c>
      <c r="F212" s="102"/>
      <c r="G212" s="105"/>
      <c r="H212" s="116" t="str">
        <f aca="false">IF($A212="","",YEAR($A212)*100+MONTH($A212))</f>
        <v/>
      </c>
    </row>
    <row r="213" customFormat="false" ht="15" hidden="false" customHeight="false" outlineLevel="0" collapsed="false">
      <c r="A213" s="115"/>
      <c r="B213" s="102"/>
      <c r="C213" s="102"/>
      <c r="D213" s="92"/>
      <c r="E213" s="116" t="str">
        <f aca="false">IF($B213="","",IF(COUNTIF(Lijsten!$A$6:$A$12,$B213)&gt;0,"Inkomst","Uitgave"))</f>
        <v/>
      </c>
      <c r="F213" s="102"/>
      <c r="G213" s="105"/>
      <c r="H213" s="116" t="str">
        <f aca="false">IF($A213="","",YEAR($A213)*100+MONTH($A213))</f>
        <v/>
      </c>
    </row>
    <row r="214" customFormat="false" ht="15" hidden="false" customHeight="false" outlineLevel="0" collapsed="false">
      <c r="A214" s="115"/>
      <c r="B214" s="102"/>
      <c r="C214" s="102"/>
      <c r="D214" s="92"/>
      <c r="E214" s="116" t="str">
        <f aca="false">IF($B214="","",IF(COUNTIF(Lijsten!$A$6:$A$12,$B214)&gt;0,"Inkomst","Uitgave"))</f>
        <v/>
      </c>
      <c r="F214" s="102"/>
      <c r="G214" s="105"/>
      <c r="H214" s="116" t="str">
        <f aca="false">IF($A214="","",YEAR($A214)*100+MONTH($A214))</f>
        <v/>
      </c>
    </row>
    <row r="215" customFormat="false" ht="15" hidden="false" customHeight="false" outlineLevel="0" collapsed="false">
      <c r="A215" s="115"/>
      <c r="B215" s="102"/>
      <c r="C215" s="102"/>
      <c r="D215" s="92"/>
      <c r="E215" s="116" t="str">
        <f aca="false">IF($B215="","",IF(COUNTIF(Lijsten!$A$6:$A$12,$B215)&gt;0,"Inkomst","Uitgave"))</f>
        <v/>
      </c>
      <c r="F215" s="102"/>
      <c r="G215" s="105"/>
      <c r="H215" s="116" t="str">
        <f aca="false">IF($A215="","",YEAR($A215)*100+MONTH($A215))</f>
        <v/>
      </c>
    </row>
    <row r="216" customFormat="false" ht="15" hidden="false" customHeight="false" outlineLevel="0" collapsed="false">
      <c r="A216" s="115"/>
      <c r="B216" s="102"/>
      <c r="C216" s="102"/>
      <c r="D216" s="92"/>
      <c r="E216" s="116" t="str">
        <f aca="false">IF($B216="","",IF(COUNTIF(Lijsten!$A$6:$A$12,$B216)&gt;0,"Inkomst","Uitgave"))</f>
        <v/>
      </c>
      <c r="F216" s="102"/>
      <c r="G216" s="105"/>
      <c r="H216" s="116" t="str">
        <f aca="false">IF($A216="","",YEAR($A216)*100+MONTH($A216))</f>
        <v/>
      </c>
    </row>
    <row r="217" customFormat="false" ht="15" hidden="false" customHeight="false" outlineLevel="0" collapsed="false">
      <c r="A217" s="115"/>
      <c r="B217" s="102"/>
      <c r="C217" s="102"/>
      <c r="D217" s="92"/>
      <c r="E217" s="116" t="str">
        <f aca="false">IF($B217="","",IF(COUNTIF(Lijsten!$A$6:$A$12,$B217)&gt;0,"Inkomst","Uitgave"))</f>
        <v/>
      </c>
      <c r="F217" s="102"/>
      <c r="G217" s="105"/>
      <c r="H217" s="116" t="str">
        <f aca="false">IF($A217="","",YEAR($A217)*100+MONTH($A217))</f>
        <v/>
      </c>
    </row>
    <row r="218" customFormat="false" ht="15" hidden="false" customHeight="false" outlineLevel="0" collapsed="false">
      <c r="A218" s="115"/>
      <c r="B218" s="102"/>
      <c r="C218" s="102"/>
      <c r="D218" s="92"/>
      <c r="E218" s="116" t="str">
        <f aca="false">IF($B218="","",IF(COUNTIF(Lijsten!$A$6:$A$12,$B218)&gt;0,"Inkomst","Uitgave"))</f>
        <v/>
      </c>
      <c r="F218" s="102"/>
      <c r="G218" s="105"/>
      <c r="H218" s="116" t="str">
        <f aca="false">IF($A218="","",YEAR($A218)*100+MONTH($A218))</f>
        <v/>
      </c>
    </row>
    <row r="219" customFormat="false" ht="15" hidden="false" customHeight="false" outlineLevel="0" collapsed="false">
      <c r="A219" s="115"/>
      <c r="B219" s="102"/>
      <c r="C219" s="102"/>
      <c r="D219" s="92"/>
      <c r="E219" s="116" t="str">
        <f aca="false">IF($B219="","",IF(COUNTIF(Lijsten!$A$6:$A$12,$B219)&gt;0,"Inkomst","Uitgave"))</f>
        <v/>
      </c>
      <c r="F219" s="102"/>
      <c r="G219" s="105"/>
      <c r="H219" s="116" t="str">
        <f aca="false">IF($A219="","",YEAR($A219)*100+MONTH($A219))</f>
        <v/>
      </c>
    </row>
    <row r="220" customFormat="false" ht="15" hidden="false" customHeight="false" outlineLevel="0" collapsed="false">
      <c r="A220" s="115"/>
      <c r="B220" s="102"/>
      <c r="C220" s="102"/>
      <c r="D220" s="92"/>
      <c r="E220" s="116" t="str">
        <f aca="false">IF($B220="","",IF(COUNTIF(Lijsten!$A$6:$A$12,$B220)&gt;0,"Inkomst","Uitgave"))</f>
        <v/>
      </c>
      <c r="F220" s="102"/>
      <c r="G220" s="105"/>
      <c r="H220" s="116" t="str">
        <f aca="false">IF($A220="","",YEAR($A220)*100+MONTH($A220))</f>
        <v/>
      </c>
    </row>
    <row r="221" customFormat="false" ht="15" hidden="false" customHeight="false" outlineLevel="0" collapsed="false">
      <c r="A221" s="115"/>
      <c r="B221" s="102"/>
      <c r="C221" s="102"/>
      <c r="D221" s="92"/>
      <c r="E221" s="116" t="str">
        <f aca="false">IF($B221="","",IF(COUNTIF(Lijsten!$A$6:$A$12,$B221)&gt;0,"Inkomst","Uitgave"))</f>
        <v/>
      </c>
      <c r="F221" s="102"/>
      <c r="G221" s="105"/>
      <c r="H221" s="116" t="str">
        <f aca="false">IF($A221="","",YEAR($A221)*100+MONTH($A221))</f>
        <v/>
      </c>
    </row>
    <row r="222" customFormat="false" ht="15" hidden="false" customHeight="false" outlineLevel="0" collapsed="false">
      <c r="A222" s="115"/>
      <c r="B222" s="102"/>
      <c r="C222" s="102"/>
      <c r="D222" s="92"/>
      <c r="E222" s="116" t="str">
        <f aca="false">IF($B222="","",IF(COUNTIF(Lijsten!$A$6:$A$12,$B222)&gt;0,"Inkomst","Uitgave"))</f>
        <v/>
      </c>
      <c r="F222" s="102"/>
      <c r="G222" s="105"/>
      <c r="H222" s="116" t="str">
        <f aca="false">IF($A222="","",YEAR($A222)*100+MONTH($A222))</f>
        <v/>
      </c>
    </row>
    <row r="223" customFormat="false" ht="15" hidden="false" customHeight="false" outlineLevel="0" collapsed="false">
      <c r="A223" s="115"/>
      <c r="B223" s="102"/>
      <c r="C223" s="102"/>
      <c r="D223" s="92"/>
      <c r="E223" s="116" t="str">
        <f aca="false">IF($B223="","",IF(COUNTIF(Lijsten!$A$6:$A$12,$B223)&gt;0,"Inkomst","Uitgave"))</f>
        <v/>
      </c>
      <c r="F223" s="102"/>
      <c r="G223" s="105"/>
      <c r="H223" s="116" t="str">
        <f aca="false">IF($A223="","",YEAR($A223)*100+MONTH($A223))</f>
        <v/>
      </c>
    </row>
    <row r="224" customFormat="false" ht="15" hidden="false" customHeight="false" outlineLevel="0" collapsed="false">
      <c r="A224" s="115"/>
      <c r="B224" s="102"/>
      <c r="C224" s="102"/>
      <c r="D224" s="92"/>
      <c r="E224" s="116" t="str">
        <f aca="false">IF($B224="","",IF(COUNTIF(Lijsten!$A$6:$A$12,$B224)&gt;0,"Inkomst","Uitgave"))</f>
        <v/>
      </c>
      <c r="F224" s="102"/>
      <c r="G224" s="105"/>
      <c r="H224" s="116" t="str">
        <f aca="false">IF($A224="","",YEAR($A224)*100+MONTH($A224))</f>
        <v/>
      </c>
    </row>
    <row r="225" customFormat="false" ht="15" hidden="false" customHeight="false" outlineLevel="0" collapsed="false">
      <c r="A225" s="115"/>
      <c r="B225" s="102"/>
      <c r="C225" s="102"/>
      <c r="D225" s="92"/>
      <c r="E225" s="116" t="str">
        <f aca="false">IF($B225="","",IF(COUNTIF(Lijsten!$A$6:$A$12,$B225)&gt;0,"Inkomst","Uitgave"))</f>
        <v/>
      </c>
      <c r="F225" s="102"/>
      <c r="G225" s="105"/>
      <c r="H225" s="116" t="str">
        <f aca="false">IF($A225="","",YEAR($A225)*100+MONTH($A225))</f>
        <v/>
      </c>
    </row>
    <row r="226" customFormat="false" ht="15" hidden="false" customHeight="false" outlineLevel="0" collapsed="false">
      <c r="A226" s="115"/>
      <c r="B226" s="102"/>
      <c r="C226" s="102"/>
      <c r="D226" s="92"/>
      <c r="E226" s="116" t="str">
        <f aca="false">IF($B226="","",IF(COUNTIF(Lijsten!$A$6:$A$12,$B226)&gt;0,"Inkomst","Uitgave"))</f>
        <v/>
      </c>
      <c r="F226" s="102"/>
      <c r="G226" s="105"/>
      <c r="H226" s="116" t="str">
        <f aca="false">IF($A226="","",YEAR($A226)*100+MONTH($A226))</f>
        <v/>
      </c>
    </row>
    <row r="227" customFormat="false" ht="15" hidden="false" customHeight="false" outlineLevel="0" collapsed="false">
      <c r="A227" s="115"/>
      <c r="B227" s="102"/>
      <c r="C227" s="102"/>
      <c r="D227" s="92"/>
      <c r="E227" s="116" t="str">
        <f aca="false">IF($B227="","",IF(COUNTIF(Lijsten!$A$6:$A$12,$B227)&gt;0,"Inkomst","Uitgave"))</f>
        <v/>
      </c>
      <c r="F227" s="102"/>
      <c r="G227" s="105"/>
      <c r="H227" s="116" t="str">
        <f aca="false">IF($A227="","",YEAR($A227)*100+MONTH($A227))</f>
        <v/>
      </c>
    </row>
    <row r="228" customFormat="false" ht="15" hidden="false" customHeight="false" outlineLevel="0" collapsed="false">
      <c r="A228" s="115"/>
      <c r="B228" s="102"/>
      <c r="C228" s="102"/>
      <c r="D228" s="92"/>
      <c r="E228" s="116" t="str">
        <f aca="false">IF($B228="","",IF(COUNTIF(Lijsten!$A$6:$A$12,$B228)&gt;0,"Inkomst","Uitgave"))</f>
        <v/>
      </c>
      <c r="F228" s="102"/>
      <c r="G228" s="105"/>
      <c r="H228" s="116" t="str">
        <f aca="false">IF($A228="","",YEAR($A228)*100+MONTH($A228))</f>
        <v/>
      </c>
    </row>
    <row r="229" customFormat="false" ht="15" hidden="false" customHeight="false" outlineLevel="0" collapsed="false">
      <c r="A229" s="115"/>
      <c r="B229" s="102"/>
      <c r="C229" s="102"/>
      <c r="D229" s="92"/>
      <c r="E229" s="116" t="str">
        <f aca="false">IF($B229="","",IF(COUNTIF(Lijsten!$A$6:$A$12,$B229)&gt;0,"Inkomst","Uitgave"))</f>
        <v/>
      </c>
      <c r="F229" s="102"/>
      <c r="G229" s="105"/>
      <c r="H229" s="116" t="str">
        <f aca="false">IF($A229="","",YEAR($A229)*100+MONTH($A229))</f>
        <v/>
      </c>
    </row>
    <row r="230" customFormat="false" ht="15" hidden="false" customHeight="false" outlineLevel="0" collapsed="false">
      <c r="A230" s="115"/>
      <c r="B230" s="102"/>
      <c r="C230" s="102"/>
      <c r="D230" s="92"/>
      <c r="E230" s="116" t="str">
        <f aca="false">IF($B230="","",IF(COUNTIF(Lijsten!$A$6:$A$12,$B230)&gt;0,"Inkomst","Uitgave"))</f>
        <v/>
      </c>
      <c r="F230" s="102"/>
      <c r="G230" s="105"/>
      <c r="H230" s="116" t="str">
        <f aca="false">IF($A230="","",YEAR($A230)*100+MONTH($A230))</f>
        <v/>
      </c>
    </row>
    <row r="231" customFormat="false" ht="15" hidden="false" customHeight="false" outlineLevel="0" collapsed="false">
      <c r="A231" s="115"/>
      <c r="B231" s="102"/>
      <c r="C231" s="102"/>
      <c r="D231" s="92"/>
      <c r="E231" s="116" t="str">
        <f aca="false">IF($B231="","",IF(COUNTIF(Lijsten!$A$6:$A$12,$B231)&gt;0,"Inkomst","Uitgave"))</f>
        <v/>
      </c>
      <c r="F231" s="102"/>
      <c r="G231" s="105"/>
      <c r="H231" s="116" t="str">
        <f aca="false">IF($A231="","",YEAR($A231)*100+MONTH($A231))</f>
        <v/>
      </c>
    </row>
    <row r="232" customFormat="false" ht="15" hidden="false" customHeight="false" outlineLevel="0" collapsed="false">
      <c r="A232" s="115"/>
      <c r="B232" s="102"/>
      <c r="C232" s="102"/>
      <c r="D232" s="92"/>
      <c r="E232" s="116" t="str">
        <f aca="false">IF($B232="","",IF(COUNTIF(Lijsten!$A$6:$A$12,$B232)&gt;0,"Inkomst","Uitgave"))</f>
        <v/>
      </c>
      <c r="F232" s="102"/>
      <c r="G232" s="105"/>
      <c r="H232" s="116" t="str">
        <f aca="false">IF($A232="","",YEAR($A232)*100+MONTH($A232))</f>
        <v/>
      </c>
    </row>
    <row r="233" customFormat="false" ht="15" hidden="false" customHeight="false" outlineLevel="0" collapsed="false">
      <c r="A233" s="115"/>
      <c r="B233" s="102"/>
      <c r="C233" s="102"/>
      <c r="D233" s="92"/>
      <c r="E233" s="116" t="str">
        <f aca="false">IF($B233="","",IF(COUNTIF(Lijsten!$A$6:$A$12,$B233)&gt;0,"Inkomst","Uitgave"))</f>
        <v/>
      </c>
      <c r="F233" s="102"/>
      <c r="G233" s="105"/>
      <c r="H233" s="116" t="str">
        <f aca="false">IF($A233="","",YEAR($A233)*100+MONTH($A233))</f>
        <v/>
      </c>
    </row>
    <row r="234" customFormat="false" ht="15" hidden="false" customHeight="false" outlineLevel="0" collapsed="false">
      <c r="A234" s="115"/>
      <c r="B234" s="102"/>
      <c r="C234" s="102"/>
      <c r="D234" s="92"/>
      <c r="E234" s="116" t="str">
        <f aca="false">IF($B234="","",IF(COUNTIF(Lijsten!$A$6:$A$12,$B234)&gt;0,"Inkomst","Uitgave"))</f>
        <v/>
      </c>
      <c r="F234" s="102"/>
      <c r="G234" s="105"/>
      <c r="H234" s="116" t="str">
        <f aca="false">IF($A234="","",YEAR($A234)*100+MONTH($A234))</f>
        <v/>
      </c>
    </row>
    <row r="235" customFormat="false" ht="15" hidden="false" customHeight="false" outlineLevel="0" collapsed="false">
      <c r="A235" s="115"/>
      <c r="B235" s="102"/>
      <c r="C235" s="102"/>
      <c r="D235" s="92"/>
      <c r="E235" s="116" t="str">
        <f aca="false">IF($B235="","",IF(COUNTIF(Lijsten!$A$6:$A$12,$B235)&gt;0,"Inkomst","Uitgave"))</f>
        <v/>
      </c>
      <c r="F235" s="102"/>
      <c r="G235" s="105"/>
      <c r="H235" s="116" t="str">
        <f aca="false">IF($A235="","",YEAR($A235)*100+MONTH($A235))</f>
        <v/>
      </c>
    </row>
    <row r="236" customFormat="false" ht="15" hidden="false" customHeight="false" outlineLevel="0" collapsed="false">
      <c r="A236" s="115"/>
      <c r="B236" s="102"/>
      <c r="C236" s="102"/>
      <c r="D236" s="92"/>
      <c r="E236" s="116" t="str">
        <f aca="false">IF($B236="","",IF(COUNTIF(Lijsten!$A$6:$A$12,$B236)&gt;0,"Inkomst","Uitgave"))</f>
        <v/>
      </c>
      <c r="F236" s="102"/>
      <c r="G236" s="105"/>
      <c r="H236" s="116" t="str">
        <f aca="false">IF($A236="","",YEAR($A236)*100+MONTH($A236))</f>
        <v/>
      </c>
    </row>
    <row r="237" customFormat="false" ht="15" hidden="false" customHeight="false" outlineLevel="0" collapsed="false">
      <c r="A237" s="115"/>
      <c r="B237" s="102"/>
      <c r="C237" s="102"/>
      <c r="D237" s="92"/>
      <c r="E237" s="116" t="str">
        <f aca="false">IF($B237="","",IF(COUNTIF(Lijsten!$A$6:$A$12,$B237)&gt;0,"Inkomst","Uitgave"))</f>
        <v/>
      </c>
      <c r="F237" s="102"/>
      <c r="G237" s="105"/>
      <c r="H237" s="116" t="str">
        <f aca="false">IF($A237="","",YEAR($A237)*100+MONTH($A237))</f>
        <v/>
      </c>
    </row>
    <row r="238" customFormat="false" ht="15" hidden="false" customHeight="false" outlineLevel="0" collapsed="false">
      <c r="A238" s="115"/>
      <c r="B238" s="102"/>
      <c r="C238" s="102"/>
      <c r="D238" s="92"/>
      <c r="E238" s="116" t="str">
        <f aca="false">IF($B238="","",IF(COUNTIF(Lijsten!$A$6:$A$12,$B238)&gt;0,"Inkomst","Uitgave"))</f>
        <v/>
      </c>
      <c r="F238" s="102"/>
      <c r="G238" s="105"/>
      <c r="H238" s="116" t="str">
        <f aca="false">IF($A238="","",YEAR($A238)*100+MONTH($A238))</f>
        <v/>
      </c>
    </row>
    <row r="239" customFormat="false" ht="15" hidden="false" customHeight="false" outlineLevel="0" collapsed="false">
      <c r="A239" s="115"/>
      <c r="B239" s="102"/>
      <c r="C239" s="102"/>
      <c r="D239" s="92"/>
      <c r="E239" s="116" t="str">
        <f aca="false">IF($B239="","",IF(COUNTIF(Lijsten!$A$6:$A$12,$B239)&gt;0,"Inkomst","Uitgave"))</f>
        <v/>
      </c>
      <c r="F239" s="102"/>
      <c r="G239" s="105"/>
      <c r="H239" s="116" t="str">
        <f aca="false">IF($A239="","",YEAR($A239)*100+MONTH($A239))</f>
        <v/>
      </c>
    </row>
    <row r="240" customFormat="false" ht="15" hidden="false" customHeight="false" outlineLevel="0" collapsed="false">
      <c r="A240" s="115"/>
      <c r="B240" s="102"/>
      <c r="C240" s="102"/>
      <c r="D240" s="92"/>
      <c r="E240" s="116" t="str">
        <f aca="false">IF($B240="","",IF(COUNTIF(Lijsten!$A$6:$A$12,$B240)&gt;0,"Inkomst","Uitgave"))</f>
        <v/>
      </c>
      <c r="F240" s="102"/>
      <c r="G240" s="105"/>
      <c r="H240" s="116" t="str">
        <f aca="false">IF($A240="","",YEAR($A240)*100+MONTH($A240))</f>
        <v/>
      </c>
    </row>
    <row r="241" customFormat="false" ht="15" hidden="false" customHeight="false" outlineLevel="0" collapsed="false">
      <c r="A241" s="115"/>
      <c r="B241" s="102"/>
      <c r="C241" s="102"/>
      <c r="D241" s="92"/>
      <c r="E241" s="116" t="str">
        <f aca="false">IF($B241="","",IF(COUNTIF(Lijsten!$A$6:$A$12,$B241)&gt;0,"Inkomst","Uitgave"))</f>
        <v/>
      </c>
      <c r="F241" s="102"/>
      <c r="G241" s="105"/>
      <c r="H241" s="116" t="str">
        <f aca="false">IF($A241="","",YEAR($A241)*100+MONTH($A241))</f>
        <v/>
      </c>
    </row>
    <row r="242" customFormat="false" ht="15" hidden="false" customHeight="false" outlineLevel="0" collapsed="false">
      <c r="A242" s="115"/>
      <c r="B242" s="102"/>
      <c r="C242" s="102"/>
      <c r="D242" s="92"/>
      <c r="E242" s="116" t="str">
        <f aca="false">IF($B242="","",IF(COUNTIF(Lijsten!$A$6:$A$12,$B242)&gt;0,"Inkomst","Uitgave"))</f>
        <v/>
      </c>
      <c r="F242" s="102"/>
      <c r="G242" s="105"/>
      <c r="H242" s="116" t="str">
        <f aca="false">IF($A242="","",YEAR($A242)*100+MONTH($A242))</f>
        <v/>
      </c>
    </row>
    <row r="243" customFormat="false" ht="15" hidden="false" customHeight="false" outlineLevel="0" collapsed="false">
      <c r="A243" s="115"/>
      <c r="B243" s="102"/>
      <c r="C243" s="102"/>
      <c r="D243" s="92"/>
      <c r="E243" s="116" t="str">
        <f aca="false">IF($B243="","",IF(COUNTIF(Lijsten!$A$6:$A$12,$B243)&gt;0,"Inkomst","Uitgave"))</f>
        <v/>
      </c>
      <c r="F243" s="102"/>
      <c r="G243" s="105"/>
      <c r="H243" s="116" t="str">
        <f aca="false">IF($A243="","",YEAR($A243)*100+MONTH($A243))</f>
        <v/>
      </c>
    </row>
    <row r="244" customFormat="false" ht="15" hidden="false" customHeight="false" outlineLevel="0" collapsed="false">
      <c r="A244" s="115"/>
      <c r="B244" s="102"/>
      <c r="C244" s="102"/>
      <c r="D244" s="92"/>
      <c r="E244" s="116" t="str">
        <f aca="false">IF($B244="","",IF(COUNTIF(Lijsten!$A$6:$A$12,$B244)&gt;0,"Inkomst","Uitgave"))</f>
        <v/>
      </c>
      <c r="F244" s="102"/>
      <c r="G244" s="105"/>
      <c r="H244" s="116" t="str">
        <f aca="false">IF($A244="","",YEAR($A244)*100+MONTH($A244))</f>
        <v/>
      </c>
    </row>
    <row r="245" customFormat="false" ht="15" hidden="false" customHeight="false" outlineLevel="0" collapsed="false">
      <c r="A245" s="115"/>
      <c r="B245" s="102"/>
      <c r="C245" s="102"/>
      <c r="D245" s="92"/>
      <c r="E245" s="116" t="str">
        <f aca="false">IF($B245="","",IF(COUNTIF(Lijsten!$A$6:$A$12,$B245)&gt;0,"Inkomst","Uitgave"))</f>
        <v/>
      </c>
      <c r="F245" s="102"/>
      <c r="G245" s="105"/>
      <c r="H245" s="116" t="str">
        <f aca="false">IF($A245="","",YEAR($A245)*100+MONTH($A245))</f>
        <v/>
      </c>
    </row>
    <row r="246" customFormat="false" ht="15" hidden="false" customHeight="false" outlineLevel="0" collapsed="false">
      <c r="A246" s="115"/>
      <c r="B246" s="102"/>
      <c r="C246" s="102"/>
      <c r="D246" s="92"/>
      <c r="E246" s="116" t="str">
        <f aca="false">IF($B246="","",IF(COUNTIF(Lijsten!$A$6:$A$12,$B246)&gt;0,"Inkomst","Uitgave"))</f>
        <v/>
      </c>
      <c r="F246" s="102"/>
      <c r="G246" s="105"/>
      <c r="H246" s="116" t="str">
        <f aca="false">IF($A246="","",YEAR($A246)*100+MONTH($A246))</f>
        <v/>
      </c>
    </row>
    <row r="247" customFormat="false" ht="15" hidden="false" customHeight="false" outlineLevel="0" collapsed="false">
      <c r="A247" s="115"/>
      <c r="B247" s="102"/>
      <c r="C247" s="102"/>
      <c r="D247" s="92"/>
      <c r="E247" s="116" t="str">
        <f aca="false">IF($B247="","",IF(COUNTIF(Lijsten!$A$6:$A$12,$B247)&gt;0,"Inkomst","Uitgave"))</f>
        <v/>
      </c>
      <c r="F247" s="102"/>
      <c r="G247" s="105"/>
      <c r="H247" s="116" t="str">
        <f aca="false">IF($A247="","",YEAR($A247)*100+MONTH($A247))</f>
        <v/>
      </c>
    </row>
    <row r="248" customFormat="false" ht="15" hidden="false" customHeight="false" outlineLevel="0" collapsed="false">
      <c r="A248" s="115"/>
      <c r="B248" s="102"/>
      <c r="C248" s="102"/>
      <c r="D248" s="92"/>
      <c r="E248" s="116" t="str">
        <f aca="false">IF($B248="","",IF(COUNTIF(Lijsten!$A$6:$A$12,$B248)&gt;0,"Inkomst","Uitgave"))</f>
        <v/>
      </c>
      <c r="F248" s="102"/>
      <c r="G248" s="105"/>
      <c r="H248" s="116" t="str">
        <f aca="false">IF($A248="","",YEAR($A248)*100+MONTH($A248))</f>
        <v/>
      </c>
    </row>
    <row r="249" customFormat="false" ht="15" hidden="false" customHeight="false" outlineLevel="0" collapsed="false">
      <c r="A249" s="115"/>
      <c r="B249" s="102"/>
      <c r="C249" s="102"/>
      <c r="D249" s="92"/>
      <c r="E249" s="116" t="str">
        <f aca="false">IF($B249="","",IF(COUNTIF(Lijsten!$A$6:$A$12,$B249)&gt;0,"Inkomst","Uitgave"))</f>
        <v/>
      </c>
      <c r="F249" s="102"/>
      <c r="G249" s="105"/>
      <c r="H249" s="116" t="str">
        <f aca="false">IF($A249="","",YEAR($A249)*100+MONTH($A249))</f>
        <v/>
      </c>
    </row>
    <row r="250" customFormat="false" ht="15" hidden="false" customHeight="false" outlineLevel="0" collapsed="false">
      <c r="A250" s="115"/>
      <c r="B250" s="102"/>
      <c r="C250" s="102"/>
      <c r="D250" s="92"/>
      <c r="E250" s="116" t="str">
        <f aca="false">IF($B250="","",IF(COUNTIF(Lijsten!$A$6:$A$12,$B250)&gt;0,"Inkomst","Uitgave"))</f>
        <v/>
      </c>
      <c r="F250" s="102"/>
      <c r="G250" s="105"/>
      <c r="H250" s="116" t="str">
        <f aca="false">IF($A250="","",YEAR($A250)*100+MONTH($A250))</f>
        <v/>
      </c>
    </row>
    <row r="251" customFormat="false" ht="15" hidden="false" customHeight="false" outlineLevel="0" collapsed="false">
      <c r="A251" s="115"/>
      <c r="B251" s="102"/>
      <c r="C251" s="102"/>
      <c r="D251" s="92"/>
      <c r="E251" s="116" t="str">
        <f aca="false">IF($B251="","",IF(COUNTIF(Lijsten!$A$6:$A$12,$B251)&gt;0,"Inkomst","Uitgave"))</f>
        <v/>
      </c>
      <c r="F251" s="102"/>
      <c r="G251" s="105"/>
      <c r="H251" s="116" t="str">
        <f aca="false">IF($A251="","",YEAR($A251)*100+MONTH($A251))</f>
        <v/>
      </c>
    </row>
    <row r="252" customFormat="false" ht="15" hidden="false" customHeight="false" outlineLevel="0" collapsed="false">
      <c r="A252" s="115"/>
      <c r="B252" s="102"/>
      <c r="C252" s="102"/>
      <c r="D252" s="92"/>
      <c r="E252" s="116" t="str">
        <f aca="false">IF($B252="","",IF(COUNTIF(Lijsten!$A$6:$A$12,$B252)&gt;0,"Inkomst","Uitgave"))</f>
        <v/>
      </c>
      <c r="F252" s="102"/>
      <c r="G252" s="105"/>
      <c r="H252" s="116" t="str">
        <f aca="false">IF($A252="","",YEAR($A252)*100+MONTH($A252))</f>
        <v/>
      </c>
    </row>
    <row r="253" customFormat="false" ht="15" hidden="false" customHeight="false" outlineLevel="0" collapsed="false">
      <c r="A253" s="115"/>
      <c r="B253" s="102"/>
      <c r="C253" s="102"/>
      <c r="D253" s="92"/>
      <c r="E253" s="116" t="str">
        <f aca="false">IF($B253="","",IF(COUNTIF(Lijsten!$A$6:$A$12,$B253)&gt;0,"Inkomst","Uitgave"))</f>
        <v/>
      </c>
      <c r="F253" s="102"/>
      <c r="G253" s="105"/>
      <c r="H253" s="116" t="str">
        <f aca="false">IF($A253="","",YEAR($A253)*100+MONTH($A253))</f>
        <v/>
      </c>
    </row>
    <row r="254" customFormat="false" ht="15" hidden="false" customHeight="false" outlineLevel="0" collapsed="false">
      <c r="A254" s="115"/>
      <c r="B254" s="102"/>
      <c r="C254" s="102"/>
      <c r="D254" s="92"/>
      <c r="E254" s="116" t="str">
        <f aca="false">IF($B254="","",IF(COUNTIF(Lijsten!$A$6:$A$12,$B254)&gt;0,"Inkomst","Uitgave"))</f>
        <v/>
      </c>
      <c r="F254" s="102"/>
      <c r="G254" s="105"/>
      <c r="H254" s="116" t="str">
        <f aca="false">IF($A254="","",YEAR($A254)*100+MONTH($A254))</f>
        <v/>
      </c>
    </row>
    <row r="255" customFormat="false" ht="15" hidden="false" customHeight="false" outlineLevel="0" collapsed="false">
      <c r="A255" s="115"/>
      <c r="B255" s="102"/>
      <c r="C255" s="102"/>
      <c r="D255" s="92"/>
      <c r="E255" s="116" t="str">
        <f aca="false">IF($B255="","",IF(COUNTIF(Lijsten!$A$6:$A$12,$B255)&gt;0,"Inkomst","Uitgave"))</f>
        <v/>
      </c>
      <c r="F255" s="102"/>
      <c r="G255" s="105"/>
      <c r="H255" s="116" t="str">
        <f aca="false">IF($A255="","",YEAR($A255)*100+MONTH($A255))</f>
        <v/>
      </c>
    </row>
    <row r="256" customFormat="false" ht="15" hidden="false" customHeight="false" outlineLevel="0" collapsed="false">
      <c r="A256" s="115"/>
      <c r="B256" s="102"/>
      <c r="C256" s="102"/>
      <c r="D256" s="92"/>
      <c r="E256" s="116" t="str">
        <f aca="false">IF($B256="","",IF(COUNTIF(Lijsten!$A$6:$A$12,$B256)&gt;0,"Inkomst","Uitgave"))</f>
        <v/>
      </c>
      <c r="F256" s="102"/>
      <c r="G256" s="105"/>
      <c r="H256" s="116" t="str">
        <f aca="false">IF($A256="","",YEAR($A256)*100+MONTH($A256))</f>
        <v/>
      </c>
    </row>
    <row r="257" customFormat="false" ht="15" hidden="false" customHeight="false" outlineLevel="0" collapsed="false">
      <c r="A257" s="115"/>
      <c r="B257" s="102"/>
      <c r="C257" s="102"/>
      <c r="D257" s="92"/>
      <c r="E257" s="116" t="str">
        <f aca="false">IF($B257="","",IF(COUNTIF(Lijsten!$A$6:$A$12,$B257)&gt;0,"Inkomst","Uitgave"))</f>
        <v/>
      </c>
      <c r="F257" s="102"/>
      <c r="G257" s="105"/>
      <c r="H257" s="116" t="str">
        <f aca="false">IF($A257="","",YEAR($A257)*100+MONTH($A257))</f>
        <v/>
      </c>
    </row>
    <row r="258" customFormat="false" ht="15" hidden="false" customHeight="false" outlineLevel="0" collapsed="false">
      <c r="A258" s="115"/>
      <c r="B258" s="102"/>
      <c r="C258" s="102"/>
      <c r="D258" s="92"/>
      <c r="E258" s="116" t="str">
        <f aca="false">IF($B258="","",IF(COUNTIF(Lijsten!$A$6:$A$12,$B258)&gt;0,"Inkomst","Uitgave"))</f>
        <v/>
      </c>
      <c r="F258" s="102"/>
      <c r="G258" s="105"/>
      <c r="H258" s="116" t="str">
        <f aca="false">IF($A258="","",YEAR($A258)*100+MONTH($A258))</f>
        <v/>
      </c>
    </row>
    <row r="259" customFormat="false" ht="15" hidden="false" customHeight="false" outlineLevel="0" collapsed="false">
      <c r="A259" s="115"/>
      <c r="B259" s="102"/>
      <c r="C259" s="102"/>
      <c r="D259" s="92"/>
      <c r="E259" s="116" t="str">
        <f aca="false">IF($B259="","",IF(COUNTIF(Lijsten!$A$6:$A$12,$B259)&gt;0,"Inkomst","Uitgave"))</f>
        <v/>
      </c>
      <c r="F259" s="102"/>
      <c r="G259" s="105"/>
      <c r="H259" s="116" t="str">
        <f aca="false">IF($A259="","",YEAR($A259)*100+MONTH($A259))</f>
        <v/>
      </c>
    </row>
    <row r="260" customFormat="false" ht="15" hidden="false" customHeight="false" outlineLevel="0" collapsed="false">
      <c r="A260" s="115"/>
      <c r="B260" s="102"/>
      <c r="C260" s="102"/>
      <c r="D260" s="92"/>
      <c r="E260" s="116" t="str">
        <f aca="false">IF($B260="","",IF(COUNTIF(Lijsten!$A$6:$A$12,$B260)&gt;0,"Inkomst","Uitgave"))</f>
        <v/>
      </c>
      <c r="F260" s="102"/>
      <c r="G260" s="105"/>
      <c r="H260" s="116" t="str">
        <f aca="false">IF($A260="","",YEAR($A260)*100+MONTH($A260))</f>
        <v/>
      </c>
    </row>
    <row r="261" customFormat="false" ht="15" hidden="false" customHeight="false" outlineLevel="0" collapsed="false">
      <c r="A261" s="115"/>
      <c r="B261" s="102"/>
      <c r="C261" s="102"/>
      <c r="D261" s="92"/>
      <c r="E261" s="116" t="str">
        <f aca="false">IF($B261="","",IF(COUNTIF(Lijsten!$A$6:$A$12,$B261)&gt;0,"Inkomst","Uitgave"))</f>
        <v/>
      </c>
      <c r="F261" s="102"/>
      <c r="G261" s="105"/>
      <c r="H261" s="116" t="str">
        <f aca="false">IF($A261="","",YEAR($A261)*100+MONTH($A261))</f>
        <v/>
      </c>
    </row>
    <row r="262" customFormat="false" ht="15" hidden="false" customHeight="false" outlineLevel="0" collapsed="false">
      <c r="A262" s="115"/>
      <c r="B262" s="102"/>
      <c r="C262" s="102"/>
      <c r="D262" s="92"/>
      <c r="E262" s="116" t="str">
        <f aca="false">IF($B262="","",IF(COUNTIF(Lijsten!$A$6:$A$12,$B262)&gt;0,"Inkomst","Uitgave"))</f>
        <v/>
      </c>
      <c r="F262" s="102"/>
      <c r="G262" s="105"/>
      <c r="H262" s="116" t="str">
        <f aca="false">IF($A262="","",YEAR($A262)*100+MONTH($A262))</f>
        <v/>
      </c>
    </row>
    <row r="263" customFormat="false" ht="15" hidden="false" customHeight="false" outlineLevel="0" collapsed="false">
      <c r="A263" s="115"/>
      <c r="B263" s="102"/>
      <c r="C263" s="102"/>
      <c r="D263" s="92"/>
      <c r="E263" s="116" t="str">
        <f aca="false">IF($B263="","",IF(COUNTIF(Lijsten!$A$6:$A$12,$B263)&gt;0,"Inkomst","Uitgave"))</f>
        <v/>
      </c>
      <c r="F263" s="102"/>
      <c r="G263" s="105"/>
      <c r="H263" s="116" t="str">
        <f aca="false">IF($A263="","",YEAR($A263)*100+MONTH($A263))</f>
        <v/>
      </c>
    </row>
    <row r="264" customFormat="false" ht="15" hidden="false" customHeight="false" outlineLevel="0" collapsed="false">
      <c r="A264" s="115"/>
      <c r="B264" s="102"/>
      <c r="C264" s="102"/>
      <c r="D264" s="92"/>
      <c r="E264" s="116" t="str">
        <f aca="false">IF($B264="","",IF(COUNTIF(Lijsten!$A$6:$A$12,$B264)&gt;0,"Inkomst","Uitgave"))</f>
        <v/>
      </c>
      <c r="F264" s="102"/>
      <c r="G264" s="105"/>
      <c r="H264" s="116" t="str">
        <f aca="false">IF($A264="","",YEAR($A264)*100+MONTH($A264))</f>
        <v/>
      </c>
    </row>
    <row r="265" customFormat="false" ht="15" hidden="false" customHeight="false" outlineLevel="0" collapsed="false">
      <c r="A265" s="115"/>
      <c r="B265" s="102"/>
      <c r="C265" s="102"/>
      <c r="D265" s="92"/>
      <c r="E265" s="116" t="str">
        <f aca="false">IF($B265="","",IF(COUNTIF(Lijsten!$A$6:$A$12,$B265)&gt;0,"Inkomst","Uitgave"))</f>
        <v/>
      </c>
      <c r="F265" s="102"/>
      <c r="G265" s="105"/>
      <c r="H265" s="116" t="str">
        <f aca="false">IF($A265="","",YEAR($A265)*100+MONTH($A265))</f>
        <v/>
      </c>
    </row>
    <row r="266" customFormat="false" ht="15" hidden="false" customHeight="false" outlineLevel="0" collapsed="false">
      <c r="A266" s="115"/>
      <c r="B266" s="102"/>
      <c r="C266" s="102"/>
      <c r="D266" s="92"/>
      <c r="E266" s="116" t="str">
        <f aca="false">IF($B266="","",IF(COUNTIF(Lijsten!$A$6:$A$12,$B266)&gt;0,"Inkomst","Uitgave"))</f>
        <v/>
      </c>
      <c r="F266" s="102"/>
      <c r="G266" s="105"/>
      <c r="H266" s="116" t="str">
        <f aca="false">IF($A266="","",YEAR($A266)*100+MONTH($A266))</f>
        <v/>
      </c>
    </row>
    <row r="267" customFormat="false" ht="15" hidden="false" customHeight="false" outlineLevel="0" collapsed="false">
      <c r="A267" s="115"/>
      <c r="B267" s="102"/>
      <c r="C267" s="102"/>
      <c r="D267" s="92"/>
      <c r="E267" s="116" t="str">
        <f aca="false">IF($B267="","",IF(COUNTIF(Lijsten!$A$6:$A$12,$B267)&gt;0,"Inkomst","Uitgave"))</f>
        <v/>
      </c>
      <c r="F267" s="102"/>
      <c r="G267" s="105"/>
      <c r="H267" s="116" t="str">
        <f aca="false">IF($A267="","",YEAR($A267)*100+MONTH($A267))</f>
        <v/>
      </c>
    </row>
    <row r="268" customFormat="false" ht="15" hidden="false" customHeight="false" outlineLevel="0" collapsed="false">
      <c r="A268" s="115"/>
      <c r="B268" s="102"/>
      <c r="C268" s="102"/>
      <c r="D268" s="92"/>
      <c r="E268" s="116" t="str">
        <f aca="false">IF($B268="","",IF(COUNTIF(Lijsten!$A$6:$A$12,$B268)&gt;0,"Inkomst","Uitgave"))</f>
        <v/>
      </c>
      <c r="F268" s="102"/>
      <c r="G268" s="105"/>
      <c r="H268" s="116" t="str">
        <f aca="false">IF($A268="","",YEAR($A268)*100+MONTH($A268))</f>
        <v/>
      </c>
    </row>
    <row r="269" customFormat="false" ht="15" hidden="false" customHeight="false" outlineLevel="0" collapsed="false">
      <c r="A269" s="115"/>
      <c r="B269" s="102"/>
      <c r="C269" s="102"/>
      <c r="D269" s="92"/>
      <c r="E269" s="116" t="str">
        <f aca="false">IF($B269="","",IF(COUNTIF(Lijsten!$A$6:$A$12,$B269)&gt;0,"Inkomst","Uitgave"))</f>
        <v/>
      </c>
      <c r="F269" s="102"/>
      <c r="G269" s="105"/>
      <c r="H269" s="116" t="str">
        <f aca="false">IF($A269="","",YEAR($A269)*100+MONTH($A269))</f>
        <v/>
      </c>
    </row>
    <row r="270" customFormat="false" ht="15" hidden="false" customHeight="false" outlineLevel="0" collapsed="false">
      <c r="A270" s="115"/>
      <c r="B270" s="102"/>
      <c r="C270" s="102"/>
      <c r="D270" s="92"/>
      <c r="E270" s="116" t="str">
        <f aca="false">IF($B270="","",IF(COUNTIF(Lijsten!$A$6:$A$12,$B270)&gt;0,"Inkomst","Uitgave"))</f>
        <v/>
      </c>
      <c r="F270" s="102"/>
      <c r="G270" s="105"/>
      <c r="H270" s="116" t="str">
        <f aca="false">IF($A270="","",YEAR($A270)*100+MONTH($A270))</f>
        <v/>
      </c>
    </row>
    <row r="271" customFormat="false" ht="15" hidden="false" customHeight="false" outlineLevel="0" collapsed="false">
      <c r="A271" s="115"/>
      <c r="B271" s="102"/>
      <c r="C271" s="102"/>
      <c r="D271" s="92"/>
      <c r="E271" s="116" t="str">
        <f aca="false">IF($B271="","",IF(COUNTIF(Lijsten!$A$6:$A$12,$B271)&gt;0,"Inkomst","Uitgave"))</f>
        <v/>
      </c>
      <c r="F271" s="102"/>
      <c r="G271" s="105"/>
      <c r="H271" s="116" t="str">
        <f aca="false">IF($A271="","",YEAR($A271)*100+MONTH($A271))</f>
        <v/>
      </c>
    </row>
    <row r="272" customFormat="false" ht="15" hidden="false" customHeight="false" outlineLevel="0" collapsed="false">
      <c r="A272" s="115"/>
      <c r="B272" s="102"/>
      <c r="C272" s="102"/>
      <c r="D272" s="92"/>
      <c r="E272" s="116" t="str">
        <f aca="false">IF($B272="","",IF(COUNTIF(Lijsten!$A$6:$A$12,$B272)&gt;0,"Inkomst","Uitgave"))</f>
        <v/>
      </c>
      <c r="F272" s="102"/>
      <c r="G272" s="105"/>
      <c r="H272" s="116" t="str">
        <f aca="false">IF($A272="","",YEAR($A272)*100+MONTH($A272))</f>
        <v/>
      </c>
    </row>
    <row r="273" customFormat="false" ht="15" hidden="false" customHeight="false" outlineLevel="0" collapsed="false">
      <c r="A273" s="115"/>
      <c r="B273" s="102"/>
      <c r="C273" s="102"/>
      <c r="D273" s="92"/>
      <c r="E273" s="116" t="str">
        <f aca="false">IF($B273="","",IF(COUNTIF(Lijsten!$A$6:$A$12,$B273)&gt;0,"Inkomst","Uitgave"))</f>
        <v/>
      </c>
      <c r="F273" s="102"/>
      <c r="G273" s="105"/>
      <c r="H273" s="116" t="str">
        <f aca="false">IF($A273="","",YEAR($A273)*100+MONTH($A273))</f>
        <v/>
      </c>
    </row>
    <row r="274" customFormat="false" ht="15" hidden="false" customHeight="false" outlineLevel="0" collapsed="false">
      <c r="A274" s="115"/>
      <c r="B274" s="102"/>
      <c r="C274" s="102"/>
      <c r="D274" s="92"/>
      <c r="E274" s="116" t="str">
        <f aca="false">IF($B274="","",IF(COUNTIF(Lijsten!$A$6:$A$12,$B274)&gt;0,"Inkomst","Uitgave"))</f>
        <v/>
      </c>
      <c r="F274" s="102"/>
      <c r="G274" s="105"/>
      <c r="H274" s="116" t="str">
        <f aca="false">IF($A274="","",YEAR($A274)*100+MONTH($A274))</f>
        <v/>
      </c>
    </row>
    <row r="275" customFormat="false" ht="15" hidden="false" customHeight="false" outlineLevel="0" collapsed="false">
      <c r="A275" s="115"/>
      <c r="B275" s="102"/>
      <c r="C275" s="102"/>
      <c r="D275" s="92"/>
      <c r="E275" s="116" t="str">
        <f aca="false">IF($B275="","",IF(COUNTIF(Lijsten!$A$6:$A$12,$B275)&gt;0,"Inkomst","Uitgave"))</f>
        <v/>
      </c>
      <c r="F275" s="102"/>
      <c r="G275" s="105"/>
      <c r="H275" s="116" t="str">
        <f aca="false">IF($A275="","",YEAR($A275)*100+MONTH($A275))</f>
        <v/>
      </c>
    </row>
    <row r="276" customFormat="false" ht="15" hidden="false" customHeight="false" outlineLevel="0" collapsed="false">
      <c r="A276" s="115"/>
      <c r="B276" s="102"/>
      <c r="C276" s="102"/>
      <c r="D276" s="92"/>
      <c r="E276" s="116" t="str">
        <f aca="false">IF($B276="","",IF(COUNTIF(Lijsten!$A$6:$A$12,$B276)&gt;0,"Inkomst","Uitgave"))</f>
        <v/>
      </c>
      <c r="F276" s="102"/>
      <c r="G276" s="105"/>
      <c r="H276" s="116" t="str">
        <f aca="false">IF($A276="","",YEAR($A276)*100+MONTH($A276))</f>
        <v/>
      </c>
    </row>
    <row r="277" customFormat="false" ht="15" hidden="false" customHeight="false" outlineLevel="0" collapsed="false">
      <c r="A277" s="115"/>
      <c r="B277" s="102"/>
      <c r="C277" s="102"/>
      <c r="D277" s="92"/>
      <c r="E277" s="116" t="str">
        <f aca="false">IF($B277="","",IF(COUNTIF(Lijsten!$A$6:$A$12,$B277)&gt;0,"Inkomst","Uitgave"))</f>
        <v/>
      </c>
      <c r="F277" s="102"/>
      <c r="G277" s="105"/>
      <c r="H277" s="116" t="str">
        <f aca="false">IF($A277="","",YEAR($A277)*100+MONTH($A277))</f>
        <v/>
      </c>
    </row>
    <row r="278" customFormat="false" ht="15" hidden="false" customHeight="false" outlineLevel="0" collapsed="false">
      <c r="A278" s="115"/>
      <c r="B278" s="102"/>
      <c r="C278" s="102"/>
      <c r="D278" s="92"/>
      <c r="E278" s="116" t="str">
        <f aca="false">IF($B278="","",IF(COUNTIF(Lijsten!$A$6:$A$12,$B278)&gt;0,"Inkomst","Uitgave"))</f>
        <v/>
      </c>
      <c r="F278" s="102"/>
      <c r="G278" s="105"/>
      <c r="H278" s="116" t="str">
        <f aca="false">IF($A278="","",YEAR($A278)*100+MONTH($A278))</f>
        <v/>
      </c>
    </row>
    <row r="279" customFormat="false" ht="15" hidden="false" customHeight="false" outlineLevel="0" collapsed="false">
      <c r="A279" s="115"/>
      <c r="B279" s="102"/>
      <c r="C279" s="102"/>
      <c r="D279" s="92"/>
      <c r="E279" s="116" t="str">
        <f aca="false">IF($B279="","",IF(COUNTIF(Lijsten!$A$6:$A$12,$B279)&gt;0,"Inkomst","Uitgave"))</f>
        <v/>
      </c>
      <c r="F279" s="102"/>
      <c r="G279" s="105"/>
      <c r="H279" s="116" t="str">
        <f aca="false">IF($A279="","",YEAR($A279)*100+MONTH($A279))</f>
        <v/>
      </c>
    </row>
    <row r="280" customFormat="false" ht="15" hidden="false" customHeight="false" outlineLevel="0" collapsed="false">
      <c r="A280" s="115"/>
      <c r="B280" s="102"/>
      <c r="C280" s="102"/>
      <c r="D280" s="92"/>
      <c r="E280" s="116" t="str">
        <f aca="false">IF($B280="","",IF(COUNTIF(Lijsten!$A$6:$A$12,$B280)&gt;0,"Inkomst","Uitgave"))</f>
        <v/>
      </c>
      <c r="F280" s="102"/>
      <c r="G280" s="105"/>
      <c r="H280" s="116" t="str">
        <f aca="false">IF($A280="","",YEAR($A280)*100+MONTH($A280))</f>
        <v/>
      </c>
    </row>
    <row r="281" customFormat="false" ht="15" hidden="false" customHeight="false" outlineLevel="0" collapsed="false">
      <c r="A281" s="115"/>
      <c r="B281" s="102"/>
      <c r="C281" s="102"/>
      <c r="D281" s="92"/>
      <c r="E281" s="116" t="str">
        <f aca="false">IF($B281="","",IF(COUNTIF(Lijsten!$A$6:$A$12,$B281)&gt;0,"Inkomst","Uitgave"))</f>
        <v/>
      </c>
      <c r="F281" s="102"/>
      <c r="G281" s="105"/>
      <c r="H281" s="116" t="str">
        <f aca="false">IF($A281="","",YEAR($A281)*100+MONTH($A281))</f>
        <v/>
      </c>
    </row>
    <row r="282" customFormat="false" ht="15" hidden="false" customHeight="false" outlineLevel="0" collapsed="false">
      <c r="A282" s="115"/>
      <c r="B282" s="102"/>
      <c r="C282" s="102"/>
      <c r="D282" s="92"/>
      <c r="E282" s="116" t="str">
        <f aca="false">IF($B282="","",IF(COUNTIF(Lijsten!$A$6:$A$12,$B282)&gt;0,"Inkomst","Uitgave"))</f>
        <v/>
      </c>
      <c r="F282" s="102"/>
      <c r="G282" s="105"/>
      <c r="H282" s="116" t="str">
        <f aca="false">IF($A282="","",YEAR($A282)*100+MONTH($A282))</f>
        <v/>
      </c>
    </row>
    <row r="283" customFormat="false" ht="15" hidden="false" customHeight="false" outlineLevel="0" collapsed="false">
      <c r="A283" s="115"/>
      <c r="B283" s="102"/>
      <c r="C283" s="102"/>
      <c r="D283" s="92"/>
      <c r="E283" s="116" t="str">
        <f aca="false">IF($B283="","",IF(COUNTIF(Lijsten!$A$6:$A$12,$B283)&gt;0,"Inkomst","Uitgave"))</f>
        <v/>
      </c>
      <c r="F283" s="102"/>
      <c r="G283" s="105"/>
      <c r="H283" s="116" t="str">
        <f aca="false">IF($A283="","",YEAR($A283)*100+MONTH($A283))</f>
        <v/>
      </c>
    </row>
    <row r="284" customFormat="false" ht="15" hidden="false" customHeight="false" outlineLevel="0" collapsed="false">
      <c r="A284" s="115"/>
      <c r="B284" s="102"/>
      <c r="C284" s="102"/>
      <c r="D284" s="92"/>
      <c r="E284" s="116" t="str">
        <f aca="false">IF($B284="","",IF(COUNTIF(Lijsten!$A$6:$A$12,$B284)&gt;0,"Inkomst","Uitgave"))</f>
        <v/>
      </c>
      <c r="F284" s="102"/>
      <c r="G284" s="105"/>
      <c r="H284" s="116" t="str">
        <f aca="false">IF($A284="","",YEAR($A284)*100+MONTH($A284))</f>
        <v/>
      </c>
    </row>
    <row r="285" customFormat="false" ht="15" hidden="false" customHeight="false" outlineLevel="0" collapsed="false">
      <c r="A285" s="115"/>
      <c r="B285" s="102"/>
      <c r="C285" s="102"/>
      <c r="D285" s="92"/>
      <c r="E285" s="116" t="str">
        <f aca="false">IF($B285="","",IF(COUNTIF(Lijsten!$A$6:$A$12,$B285)&gt;0,"Inkomst","Uitgave"))</f>
        <v/>
      </c>
      <c r="F285" s="102"/>
      <c r="G285" s="105"/>
      <c r="H285" s="116" t="str">
        <f aca="false">IF($A285="","",YEAR($A285)*100+MONTH($A285))</f>
        <v/>
      </c>
    </row>
    <row r="286" customFormat="false" ht="15" hidden="false" customHeight="false" outlineLevel="0" collapsed="false">
      <c r="A286" s="115"/>
      <c r="B286" s="102"/>
      <c r="C286" s="102"/>
      <c r="D286" s="92"/>
      <c r="E286" s="116" t="str">
        <f aca="false">IF($B286="","",IF(COUNTIF(Lijsten!$A$6:$A$12,$B286)&gt;0,"Inkomst","Uitgave"))</f>
        <v/>
      </c>
      <c r="F286" s="102"/>
      <c r="G286" s="105"/>
      <c r="H286" s="116" t="str">
        <f aca="false">IF($A286="","",YEAR($A286)*100+MONTH($A286))</f>
        <v/>
      </c>
    </row>
    <row r="287" customFormat="false" ht="15" hidden="false" customHeight="false" outlineLevel="0" collapsed="false">
      <c r="A287" s="115"/>
      <c r="B287" s="102"/>
      <c r="C287" s="102"/>
      <c r="D287" s="92"/>
      <c r="E287" s="116" t="str">
        <f aca="false">IF($B287="","",IF(COUNTIF(Lijsten!$A$6:$A$12,$B287)&gt;0,"Inkomst","Uitgave"))</f>
        <v/>
      </c>
      <c r="F287" s="102"/>
      <c r="G287" s="105"/>
      <c r="H287" s="116" t="str">
        <f aca="false">IF($A287="","",YEAR($A287)*100+MONTH($A287))</f>
        <v/>
      </c>
    </row>
    <row r="288" customFormat="false" ht="15" hidden="false" customHeight="false" outlineLevel="0" collapsed="false">
      <c r="A288" s="115"/>
      <c r="B288" s="102"/>
      <c r="C288" s="102"/>
      <c r="D288" s="92"/>
      <c r="E288" s="116" t="str">
        <f aca="false">IF($B288="","",IF(COUNTIF(Lijsten!$A$6:$A$12,$B288)&gt;0,"Inkomst","Uitgave"))</f>
        <v/>
      </c>
      <c r="F288" s="102"/>
      <c r="G288" s="105"/>
      <c r="H288" s="116" t="str">
        <f aca="false">IF($A288="","",YEAR($A288)*100+MONTH($A288))</f>
        <v/>
      </c>
    </row>
    <row r="289" customFormat="false" ht="15" hidden="false" customHeight="false" outlineLevel="0" collapsed="false">
      <c r="A289" s="115"/>
      <c r="B289" s="102"/>
      <c r="C289" s="102"/>
      <c r="D289" s="92"/>
      <c r="E289" s="116" t="str">
        <f aca="false">IF($B289="","",IF(COUNTIF(Lijsten!$A$6:$A$12,$B289)&gt;0,"Inkomst","Uitgave"))</f>
        <v/>
      </c>
      <c r="F289" s="102"/>
      <c r="G289" s="105"/>
      <c r="H289" s="116" t="str">
        <f aca="false">IF($A289="","",YEAR($A289)*100+MONTH($A289))</f>
        <v/>
      </c>
    </row>
    <row r="290" customFormat="false" ht="15" hidden="false" customHeight="false" outlineLevel="0" collapsed="false">
      <c r="A290" s="115"/>
      <c r="B290" s="102"/>
      <c r="C290" s="102"/>
      <c r="D290" s="92"/>
      <c r="E290" s="116" t="str">
        <f aca="false">IF($B290="","",IF(COUNTIF(Lijsten!$A$6:$A$12,$B290)&gt;0,"Inkomst","Uitgave"))</f>
        <v/>
      </c>
      <c r="F290" s="102"/>
      <c r="G290" s="105"/>
      <c r="H290" s="116" t="str">
        <f aca="false">IF($A290="","",YEAR($A290)*100+MONTH($A290))</f>
        <v/>
      </c>
    </row>
    <row r="291" customFormat="false" ht="15" hidden="false" customHeight="false" outlineLevel="0" collapsed="false">
      <c r="A291" s="115"/>
      <c r="B291" s="102"/>
      <c r="C291" s="102"/>
      <c r="D291" s="92"/>
      <c r="E291" s="116" t="str">
        <f aca="false">IF($B291="","",IF(COUNTIF(Lijsten!$A$6:$A$12,$B291)&gt;0,"Inkomst","Uitgave"))</f>
        <v/>
      </c>
      <c r="F291" s="102"/>
      <c r="G291" s="105"/>
      <c r="H291" s="116" t="str">
        <f aca="false">IF($A291="","",YEAR($A291)*100+MONTH($A291))</f>
        <v/>
      </c>
    </row>
    <row r="292" customFormat="false" ht="15" hidden="false" customHeight="false" outlineLevel="0" collapsed="false">
      <c r="A292" s="115"/>
      <c r="B292" s="102"/>
      <c r="C292" s="102"/>
      <c r="D292" s="92"/>
      <c r="E292" s="116" t="str">
        <f aca="false">IF($B292="","",IF(COUNTIF(Lijsten!$A$6:$A$12,$B292)&gt;0,"Inkomst","Uitgave"))</f>
        <v/>
      </c>
      <c r="F292" s="102"/>
      <c r="G292" s="105"/>
      <c r="H292" s="116" t="str">
        <f aca="false">IF($A292="","",YEAR($A292)*100+MONTH($A292))</f>
        <v/>
      </c>
    </row>
    <row r="293" customFormat="false" ht="15" hidden="false" customHeight="false" outlineLevel="0" collapsed="false">
      <c r="A293" s="115"/>
      <c r="B293" s="102"/>
      <c r="C293" s="102"/>
      <c r="D293" s="92"/>
      <c r="E293" s="116" t="str">
        <f aca="false">IF($B293="","",IF(COUNTIF(Lijsten!$A$6:$A$12,$B293)&gt;0,"Inkomst","Uitgave"))</f>
        <v/>
      </c>
      <c r="F293" s="102"/>
      <c r="G293" s="105"/>
      <c r="H293" s="116" t="str">
        <f aca="false">IF($A293="","",YEAR($A293)*100+MONTH($A293))</f>
        <v/>
      </c>
    </row>
    <row r="294" customFormat="false" ht="15" hidden="false" customHeight="false" outlineLevel="0" collapsed="false">
      <c r="A294" s="115"/>
      <c r="B294" s="102"/>
      <c r="C294" s="102"/>
      <c r="D294" s="92"/>
      <c r="E294" s="116" t="str">
        <f aca="false">IF($B294="","",IF(COUNTIF(Lijsten!$A$6:$A$12,$B294)&gt;0,"Inkomst","Uitgave"))</f>
        <v/>
      </c>
      <c r="F294" s="102"/>
      <c r="G294" s="105"/>
      <c r="H294" s="116" t="str">
        <f aca="false">IF($A294="","",YEAR($A294)*100+MONTH($A294))</f>
        <v/>
      </c>
    </row>
    <row r="295" customFormat="false" ht="15" hidden="false" customHeight="false" outlineLevel="0" collapsed="false">
      <c r="A295" s="115"/>
      <c r="B295" s="102"/>
      <c r="C295" s="102"/>
      <c r="D295" s="92"/>
      <c r="E295" s="116" t="str">
        <f aca="false">IF($B295="","",IF(COUNTIF(Lijsten!$A$6:$A$12,$B295)&gt;0,"Inkomst","Uitgave"))</f>
        <v/>
      </c>
      <c r="F295" s="102"/>
      <c r="G295" s="105"/>
      <c r="H295" s="116" t="str">
        <f aca="false">IF($A295="","",YEAR($A295)*100+MONTH($A295))</f>
        <v/>
      </c>
    </row>
    <row r="296" customFormat="false" ht="15" hidden="false" customHeight="false" outlineLevel="0" collapsed="false">
      <c r="A296" s="115"/>
      <c r="B296" s="102"/>
      <c r="C296" s="102"/>
      <c r="D296" s="92"/>
      <c r="E296" s="116" t="str">
        <f aca="false">IF($B296="","",IF(COUNTIF(Lijsten!$A$6:$A$12,$B296)&gt;0,"Inkomst","Uitgave"))</f>
        <v/>
      </c>
      <c r="F296" s="102"/>
      <c r="G296" s="105"/>
      <c r="H296" s="116" t="str">
        <f aca="false">IF($A296="","",YEAR($A296)*100+MONTH($A296))</f>
        <v/>
      </c>
    </row>
    <row r="297" customFormat="false" ht="15" hidden="false" customHeight="false" outlineLevel="0" collapsed="false">
      <c r="A297" s="115"/>
      <c r="B297" s="102"/>
      <c r="C297" s="102"/>
      <c r="D297" s="92"/>
      <c r="E297" s="116" t="str">
        <f aca="false">IF($B297="","",IF(COUNTIF(Lijsten!$A$6:$A$12,$B297)&gt;0,"Inkomst","Uitgave"))</f>
        <v/>
      </c>
      <c r="F297" s="102"/>
      <c r="G297" s="105"/>
      <c r="H297" s="116" t="str">
        <f aca="false">IF($A297="","",YEAR($A297)*100+MONTH($A297))</f>
        <v/>
      </c>
    </row>
    <row r="298" customFormat="false" ht="15" hidden="false" customHeight="false" outlineLevel="0" collapsed="false">
      <c r="A298" s="115"/>
      <c r="B298" s="102"/>
      <c r="C298" s="102"/>
      <c r="D298" s="92"/>
      <c r="E298" s="116" t="str">
        <f aca="false">IF($B298="","",IF(COUNTIF(Lijsten!$A$6:$A$12,$B298)&gt;0,"Inkomst","Uitgave"))</f>
        <v/>
      </c>
      <c r="F298" s="102"/>
      <c r="G298" s="105"/>
      <c r="H298" s="116" t="str">
        <f aca="false">IF($A298="","",YEAR($A298)*100+MONTH($A298))</f>
        <v/>
      </c>
    </row>
    <row r="299" customFormat="false" ht="15" hidden="false" customHeight="false" outlineLevel="0" collapsed="false">
      <c r="A299" s="115"/>
      <c r="B299" s="102"/>
      <c r="C299" s="102"/>
      <c r="D299" s="92"/>
      <c r="E299" s="116" t="str">
        <f aca="false">IF($B299="","",IF(COUNTIF(Lijsten!$A$6:$A$12,$B299)&gt;0,"Inkomst","Uitgave"))</f>
        <v/>
      </c>
      <c r="F299" s="102"/>
      <c r="G299" s="105"/>
      <c r="H299" s="116" t="str">
        <f aca="false">IF($A299="","",YEAR($A299)*100+MONTH($A299))</f>
        <v/>
      </c>
    </row>
    <row r="300" customFormat="false" ht="15" hidden="false" customHeight="false" outlineLevel="0" collapsed="false">
      <c r="A300" s="115"/>
      <c r="B300" s="102"/>
      <c r="C300" s="102"/>
      <c r="D300" s="92"/>
      <c r="E300" s="116" t="str">
        <f aca="false">IF($B300="","",IF(COUNTIF(Lijsten!$A$6:$A$12,$B300)&gt;0,"Inkomst","Uitgave"))</f>
        <v/>
      </c>
      <c r="F300" s="102"/>
      <c r="G300" s="105"/>
      <c r="H300" s="116" t="str">
        <f aca="false">IF($A300="","",YEAR($A300)*100+MONTH($A300))</f>
        <v/>
      </c>
    </row>
    <row r="301" customFormat="false" ht="15" hidden="false" customHeight="false" outlineLevel="0" collapsed="false">
      <c r="A301" s="115"/>
      <c r="B301" s="102"/>
      <c r="C301" s="102"/>
      <c r="D301" s="92"/>
      <c r="E301" s="116" t="str">
        <f aca="false">IF($B301="","",IF(COUNTIF(Lijsten!$A$6:$A$12,$B301)&gt;0,"Inkomst","Uitgave"))</f>
        <v/>
      </c>
      <c r="F301" s="102"/>
      <c r="G301" s="105"/>
      <c r="H301" s="116" t="str">
        <f aca="false">IF($A301="","",YEAR($A301)*100+MONTH($A301))</f>
        <v/>
      </c>
    </row>
    <row r="302" customFormat="false" ht="15" hidden="false" customHeight="false" outlineLevel="0" collapsed="false">
      <c r="A302" s="115"/>
      <c r="B302" s="102"/>
      <c r="C302" s="102"/>
      <c r="D302" s="92"/>
      <c r="E302" s="116" t="str">
        <f aca="false">IF($B302="","",IF(COUNTIF(Lijsten!$A$6:$A$12,$B302)&gt;0,"Inkomst","Uitgave"))</f>
        <v/>
      </c>
      <c r="F302" s="102"/>
      <c r="G302" s="105"/>
      <c r="H302" s="116" t="str">
        <f aca="false">IF($A302="","",YEAR($A302)*100+MONTH($A302))</f>
        <v/>
      </c>
    </row>
    <row r="303" customFormat="false" ht="15" hidden="false" customHeight="false" outlineLevel="0" collapsed="false">
      <c r="A303" s="115"/>
      <c r="B303" s="102"/>
      <c r="C303" s="102"/>
      <c r="D303" s="92"/>
      <c r="E303" s="116" t="str">
        <f aca="false">IF($B303="","",IF(COUNTIF(Lijsten!$A$6:$A$12,$B303)&gt;0,"Inkomst","Uitgave"))</f>
        <v/>
      </c>
      <c r="F303" s="102"/>
      <c r="G303" s="105"/>
      <c r="H303" s="116" t="str">
        <f aca="false">IF($A303="","",YEAR($A303)*100+MONTH($A303))</f>
        <v/>
      </c>
    </row>
    <row r="304" customFormat="false" ht="15" hidden="false" customHeight="false" outlineLevel="0" collapsed="false">
      <c r="A304" s="115"/>
      <c r="B304" s="102"/>
      <c r="C304" s="102"/>
      <c r="D304" s="92"/>
      <c r="E304" s="116" t="str">
        <f aca="false">IF($B304="","",IF(COUNTIF(Lijsten!$A$6:$A$12,$B304)&gt;0,"Inkomst","Uitgave"))</f>
        <v/>
      </c>
      <c r="F304" s="102"/>
      <c r="G304" s="105"/>
      <c r="H304" s="116" t="str">
        <f aca="false">IF($A304="","",YEAR($A304)*100+MONTH($A304))</f>
        <v/>
      </c>
    </row>
    <row r="305" customFormat="false" ht="15" hidden="false" customHeight="false" outlineLevel="0" collapsed="false">
      <c r="A305" s="115"/>
      <c r="B305" s="102"/>
      <c r="C305" s="102"/>
      <c r="D305" s="92"/>
      <c r="E305" s="116" t="str">
        <f aca="false">IF($B305="","",IF(COUNTIF(Lijsten!$A$6:$A$12,$B305)&gt;0,"Inkomst","Uitgave"))</f>
        <v/>
      </c>
      <c r="F305" s="102"/>
      <c r="G305" s="105"/>
      <c r="H305" s="116" t="str">
        <f aca="false">IF($A305="","",YEAR($A305)*100+MONTH($A305))</f>
        <v/>
      </c>
    </row>
    <row r="306" customFormat="false" ht="15" hidden="false" customHeight="false" outlineLevel="0" collapsed="false">
      <c r="A306" s="115"/>
      <c r="B306" s="102"/>
      <c r="C306" s="102"/>
      <c r="D306" s="92"/>
      <c r="E306" s="116" t="str">
        <f aca="false">IF($B306="","",IF(COUNTIF(Lijsten!$A$6:$A$12,$B306)&gt;0,"Inkomst","Uitgave"))</f>
        <v/>
      </c>
      <c r="F306" s="102"/>
      <c r="G306" s="105"/>
      <c r="H306" s="116" t="str">
        <f aca="false">IF($A306="","",YEAR($A306)*100+MONTH($A306))</f>
        <v/>
      </c>
    </row>
    <row r="307" customFormat="false" ht="15" hidden="false" customHeight="false" outlineLevel="0" collapsed="false">
      <c r="A307" s="115"/>
      <c r="B307" s="102"/>
      <c r="C307" s="102"/>
      <c r="D307" s="92"/>
      <c r="E307" s="116" t="str">
        <f aca="false">IF($B307="","",IF(COUNTIF(Lijsten!$A$6:$A$12,$B307)&gt;0,"Inkomst","Uitgave"))</f>
        <v/>
      </c>
      <c r="F307" s="102"/>
      <c r="G307" s="105"/>
      <c r="H307" s="116" t="str">
        <f aca="false">IF($A307="","",YEAR($A307)*100+MONTH($A307))</f>
        <v/>
      </c>
    </row>
    <row r="308" customFormat="false" ht="15" hidden="false" customHeight="false" outlineLevel="0" collapsed="false">
      <c r="A308" s="115"/>
      <c r="B308" s="102"/>
      <c r="C308" s="102"/>
      <c r="D308" s="92"/>
      <c r="E308" s="116" t="str">
        <f aca="false">IF($B308="","",IF(COUNTIF(Lijsten!$A$6:$A$12,$B308)&gt;0,"Inkomst","Uitgave"))</f>
        <v/>
      </c>
      <c r="F308" s="102"/>
      <c r="G308" s="105"/>
      <c r="H308" s="116" t="str">
        <f aca="false">IF($A308="","",YEAR($A308)*100+MONTH($A308))</f>
        <v/>
      </c>
    </row>
    <row r="309" customFormat="false" ht="15" hidden="false" customHeight="false" outlineLevel="0" collapsed="false">
      <c r="A309" s="115"/>
      <c r="B309" s="102"/>
      <c r="C309" s="102"/>
      <c r="D309" s="92"/>
      <c r="E309" s="116" t="str">
        <f aca="false">IF($B309="","",IF(COUNTIF(Lijsten!$A$6:$A$12,$B309)&gt;0,"Inkomst","Uitgave"))</f>
        <v/>
      </c>
      <c r="F309" s="102"/>
      <c r="G309" s="105"/>
      <c r="H309" s="116" t="str">
        <f aca="false">IF($A309="","",YEAR($A309)*100+MONTH($A309))</f>
        <v/>
      </c>
    </row>
    <row r="310" customFormat="false" ht="15" hidden="false" customHeight="false" outlineLevel="0" collapsed="false">
      <c r="A310" s="115"/>
      <c r="B310" s="102"/>
      <c r="C310" s="102"/>
      <c r="D310" s="92"/>
      <c r="E310" s="116" t="str">
        <f aca="false">IF($B310="","",IF(COUNTIF(Lijsten!$A$6:$A$12,$B310)&gt;0,"Inkomst","Uitgave"))</f>
        <v/>
      </c>
      <c r="F310" s="102"/>
      <c r="G310" s="105"/>
      <c r="H310" s="116" t="str">
        <f aca="false">IF($A310="","",YEAR($A310)*100+MONTH($A310))</f>
        <v/>
      </c>
    </row>
    <row r="311" customFormat="false" ht="15" hidden="false" customHeight="false" outlineLevel="0" collapsed="false">
      <c r="A311" s="115"/>
      <c r="B311" s="102"/>
      <c r="C311" s="102"/>
      <c r="D311" s="92"/>
      <c r="E311" s="116" t="str">
        <f aca="false">IF($B311="","",IF(COUNTIF(Lijsten!$A$6:$A$12,$B311)&gt;0,"Inkomst","Uitgave"))</f>
        <v/>
      </c>
      <c r="F311" s="102"/>
      <c r="G311" s="105"/>
      <c r="H311" s="116" t="str">
        <f aca="false">IF($A311="","",YEAR($A311)*100+MONTH($A311))</f>
        <v/>
      </c>
    </row>
    <row r="312" customFormat="false" ht="15" hidden="false" customHeight="false" outlineLevel="0" collapsed="false">
      <c r="A312" s="115"/>
      <c r="B312" s="102"/>
      <c r="C312" s="102"/>
      <c r="D312" s="92"/>
      <c r="E312" s="116" t="str">
        <f aca="false">IF($B312="","",IF(COUNTIF(Lijsten!$A$6:$A$12,$B312)&gt;0,"Inkomst","Uitgave"))</f>
        <v/>
      </c>
      <c r="F312" s="102"/>
      <c r="G312" s="105"/>
      <c r="H312" s="116" t="str">
        <f aca="false">IF($A312="","",YEAR($A312)*100+MONTH($A312))</f>
        <v/>
      </c>
    </row>
    <row r="313" customFormat="false" ht="15" hidden="false" customHeight="false" outlineLevel="0" collapsed="false">
      <c r="A313" s="115"/>
      <c r="B313" s="102"/>
      <c r="C313" s="102"/>
      <c r="D313" s="92"/>
      <c r="E313" s="116" t="str">
        <f aca="false">IF($B313="","",IF(COUNTIF(Lijsten!$A$6:$A$12,$B313)&gt;0,"Inkomst","Uitgave"))</f>
        <v/>
      </c>
      <c r="F313" s="102"/>
      <c r="G313" s="105"/>
      <c r="H313" s="116" t="str">
        <f aca="false">IF($A313="","",YEAR($A313)*100+MONTH($A313))</f>
        <v/>
      </c>
    </row>
    <row r="314" customFormat="false" ht="15" hidden="false" customHeight="false" outlineLevel="0" collapsed="false">
      <c r="A314" s="115"/>
      <c r="B314" s="102"/>
      <c r="C314" s="102"/>
      <c r="D314" s="92"/>
      <c r="E314" s="116" t="str">
        <f aca="false">IF($B314="","",IF(COUNTIF(Lijsten!$A$6:$A$12,$B314)&gt;0,"Inkomst","Uitgave"))</f>
        <v/>
      </c>
      <c r="F314" s="102"/>
      <c r="G314" s="105"/>
      <c r="H314" s="116" t="str">
        <f aca="false">IF($A314="","",YEAR($A314)*100+MONTH($A314))</f>
        <v/>
      </c>
    </row>
    <row r="315" customFormat="false" ht="15" hidden="false" customHeight="false" outlineLevel="0" collapsed="false">
      <c r="A315" s="115"/>
      <c r="B315" s="102"/>
      <c r="C315" s="102"/>
      <c r="D315" s="92"/>
      <c r="E315" s="116" t="str">
        <f aca="false">IF($B315="","",IF(COUNTIF(Lijsten!$A$6:$A$12,$B315)&gt;0,"Inkomst","Uitgave"))</f>
        <v/>
      </c>
      <c r="F315" s="102"/>
      <c r="G315" s="105"/>
      <c r="H315" s="116" t="str">
        <f aca="false">IF($A315="","",YEAR($A315)*100+MONTH($A315))</f>
        <v/>
      </c>
    </row>
    <row r="316" customFormat="false" ht="15" hidden="false" customHeight="false" outlineLevel="0" collapsed="false">
      <c r="A316" s="115"/>
      <c r="B316" s="102"/>
      <c r="C316" s="102"/>
      <c r="D316" s="92"/>
      <c r="E316" s="116" t="str">
        <f aca="false">IF($B316="","",IF(COUNTIF(Lijsten!$A$6:$A$12,$B316)&gt;0,"Inkomst","Uitgave"))</f>
        <v/>
      </c>
      <c r="F316" s="102"/>
      <c r="G316" s="105"/>
      <c r="H316" s="116" t="str">
        <f aca="false">IF($A316="","",YEAR($A316)*100+MONTH($A316))</f>
        <v/>
      </c>
    </row>
    <row r="317" customFormat="false" ht="15" hidden="false" customHeight="false" outlineLevel="0" collapsed="false">
      <c r="A317" s="115"/>
      <c r="B317" s="102"/>
      <c r="C317" s="102"/>
      <c r="D317" s="92"/>
      <c r="E317" s="116" t="str">
        <f aca="false">IF($B317="","",IF(COUNTIF(Lijsten!$A$6:$A$12,$B317)&gt;0,"Inkomst","Uitgave"))</f>
        <v/>
      </c>
      <c r="F317" s="102"/>
      <c r="G317" s="105"/>
      <c r="H317" s="116" t="str">
        <f aca="false">IF($A317="","",YEAR($A317)*100+MONTH($A317))</f>
        <v/>
      </c>
    </row>
    <row r="318" customFormat="false" ht="15" hidden="false" customHeight="false" outlineLevel="0" collapsed="false">
      <c r="A318" s="115"/>
      <c r="B318" s="102"/>
      <c r="C318" s="102"/>
      <c r="D318" s="92"/>
      <c r="E318" s="116" t="str">
        <f aca="false">IF($B318="","",IF(COUNTIF(Lijsten!$A$6:$A$12,$B318)&gt;0,"Inkomst","Uitgave"))</f>
        <v/>
      </c>
      <c r="F318" s="102"/>
      <c r="G318" s="105"/>
      <c r="H318" s="116" t="str">
        <f aca="false">IF($A318="","",YEAR($A318)*100+MONTH($A318))</f>
        <v/>
      </c>
    </row>
    <row r="319" customFormat="false" ht="15" hidden="false" customHeight="false" outlineLevel="0" collapsed="false">
      <c r="A319" s="115"/>
      <c r="B319" s="102"/>
      <c r="C319" s="102"/>
      <c r="D319" s="92"/>
      <c r="E319" s="116" t="str">
        <f aca="false">IF($B319="","",IF(COUNTIF(Lijsten!$A$6:$A$12,$B319)&gt;0,"Inkomst","Uitgave"))</f>
        <v/>
      </c>
      <c r="F319" s="102"/>
      <c r="G319" s="105"/>
      <c r="H319" s="116" t="str">
        <f aca="false">IF($A319="","",YEAR($A319)*100+MONTH($A319))</f>
        <v/>
      </c>
    </row>
    <row r="320" customFormat="false" ht="15" hidden="false" customHeight="false" outlineLevel="0" collapsed="false">
      <c r="A320" s="115"/>
      <c r="B320" s="102"/>
      <c r="C320" s="102"/>
      <c r="D320" s="92"/>
      <c r="E320" s="116" t="str">
        <f aca="false">IF($B320="","",IF(COUNTIF(Lijsten!$A$6:$A$12,$B320)&gt;0,"Inkomst","Uitgave"))</f>
        <v/>
      </c>
      <c r="F320" s="102"/>
      <c r="G320" s="105"/>
      <c r="H320" s="116" t="str">
        <f aca="false">IF($A320="","",YEAR($A320)*100+MONTH($A320))</f>
        <v/>
      </c>
    </row>
    <row r="321" customFormat="false" ht="15" hidden="false" customHeight="false" outlineLevel="0" collapsed="false">
      <c r="A321" s="115"/>
      <c r="B321" s="102"/>
      <c r="C321" s="102"/>
      <c r="D321" s="92"/>
      <c r="E321" s="116" t="str">
        <f aca="false">IF($B321="","",IF(COUNTIF(Lijsten!$A$6:$A$12,$B321)&gt;0,"Inkomst","Uitgave"))</f>
        <v/>
      </c>
      <c r="F321" s="102"/>
      <c r="G321" s="105"/>
      <c r="H321" s="116" t="str">
        <f aca="false">IF($A321="","",YEAR($A321)*100+MONTH($A321))</f>
        <v/>
      </c>
    </row>
    <row r="322" customFormat="false" ht="15" hidden="false" customHeight="false" outlineLevel="0" collapsed="false">
      <c r="A322" s="115"/>
      <c r="B322" s="102"/>
      <c r="C322" s="102"/>
      <c r="D322" s="92"/>
      <c r="E322" s="116" t="str">
        <f aca="false">IF($B322="","",IF(COUNTIF(Lijsten!$A$6:$A$12,$B322)&gt;0,"Inkomst","Uitgave"))</f>
        <v/>
      </c>
      <c r="F322" s="102"/>
      <c r="G322" s="105"/>
      <c r="H322" s="116" t="str">
        <f aca="false">IF($A322="","",YEAR($A322)*100+MONTH($A322))</f>
        <v/>
      </c>
    </row>
    <row r="323" customFormat="false" ht="15" hidden="false" customHeight="false" outlineLevel="0" collapsed="false">
      <c r="A323" s="115"/>
      <c r="B323" s="102"/>
      <c r="C323" s="102"/>
      <c r="D323" s="92"/>
      <c r="E323" s="116" t="str">
        <f aca="false">IF($B323="","",IF(COUNTIF(Lijsten!$A$6:$A$12,$B323)&gt;0,"Inkomst","Uitgave"))</f>
        <v/>
      </c>
      <c r="F323" s="102"/>
      <c r="G323" s="105"/>
      <c r="H323" s="116" t="str">
        <f aca="false">IF($A323="","",YEAR($A323)*100+MONTH($A323))</f>
        <v/>
      </c>
    </row>
    <row r="324" customFormat="false" ht="15" hidden="false" customHeight="false" outlineLevel="0" collapsed="false">
      <c r="A324" s="115"/>
      <c r="B324" s="102"/>
      <c r="C324" s="102"/>
      <c r="D324" s="92"/>
      <c r="E324" s="116" t="str">
        <f aca="false">IF($B324="","",IF(COUNTIF(Lijsten!$A$6:$A$12,$B324)&gt;0,"Inkomst","Uitgave"))</f>
        <v/>
      </c>
      <c r="F324" s="102"/>
      <c r="G324" s="105"/>
      <c r="H324" s="116" t="str">
        <f aca="false">IF($A324="","",YEAR($A324)*100+MONTH($A324))</f>
        <v/>
      </c>
    </row>
    <row r="325" customFormat="false" ht="15" hidden="false" customHeight="false" outlineLevel="0" collapsed="false">
      <c r="A325" s="115"/>
      <c r="B325" s="102"/>
      <c r="C325" s="102"/>
      <c r="D325" s="92"/>
      <c r="E325" s="116" t="str">
        <f aca="false">IF($B325="","",IF(COUNTIF(Lijsten!$A$6:$A$12,$B325)&gt;0,"Inkomst","Uitgave"))</f>
        <v/>
      </c>
      <c r="F325" s="102"/>
      <c r="G325" s="105"/>
      <c r="H325" s="116" t="str">
        <f aca="false">IF($A325="","",YEAR($A325)*100+MONTH($A325))</f>
        <v/>
      </c>
    </row>
    <row r="326" customFormat="false" ht="15" hidden="false" customHeight="false" outlineLevel="0" collapsed="false">
      <c r="A326" s="115"/>
      <c r="B326" s="102"/>
      <c r="C326" s="102"/>
      <c r="D326" s="92"/>
      <c r="E326" s="116" t="str">
        <f aca="false">IF($B326="","",IF(COUNTIF(Lijsten!$A$6:$A$12,$B326)&gt;0,"Inkomst","Uitgave"))</f>
        <v/>
      </c>
      <c r="F326" s="102"/>
      <c r="G326" s="105"/>
      <c r="H326" s="116" t="str">
        <f aca="false">IF($A326="","",YEAR($A326)*100+MONTH($A326))</f>
        <v/>
      </c>
    </row>
    <row r="327" customFormat="false" ht="15" hidden="false" customHeight="false" outlineLevel="0" collapsed="false">
      <c r="A327" s="115"/>
      <c r="B327" s="102"/>
      <c r="C327" s="102"/>
      <c r="D327" s="92"/>
      <c r="E327" s="116" t="str">
        <f aca="false">IF($B327="","",IF(COUNTIF(Lijsten!$A$6:$A$12,$B327)&gt;0,"Inkomst","Uitgave"))</f>
        <v/>
      </c>
      <c r="F327" s="102"/>
      <c r="G327" s="105"/>
      <c r="H327" s="116" t="str">
        <f aca="false">IF($A327="","",YEAR($A327)*100+MONTH($A327))</f>
        <v/>
      </c>
    </row>
    <row r="328" customFormat="false" ht="15" hidden="false" customHeight="false" outlineLevel="0" collapsed="false">
      <c r="A328" s="115"/>
      <c r="B328" s="102"/>
      <c r="C328" s="102"/>
      <c r="D328" s="92"/>
      <c r="E328" s="116" t="str">
        <f aca="false">IF($B328="","",IF(COUNTIF(Lijsten!$A$6:$A$12,$B328)&gt;0,"Inkomst","Uitgave"))</f>
        <v/>
      </c>
      <c r="F328" s="102"/>
      <c r="G328" s="105"/>
      <c r="H328" s="116" t="str">
        <f aca="false">IF($A328="","",YEAR($A328)*100+MONTH($A328))</f>
        <v/>
      </c>
    </row>
    <row r="329" customFormat="false" ht="15" hidden="false" customHeight="false" outlineLevel="0" collapsed="false">
      <c r="A329" s="115"/>
      <c r="B329" s="102"/>
      <c r="C329" s="102"/>
      <c r="D329" s="92"/>
      <c r="E329" s="116" t="str">
        <f aca="false">IF($B329="","",IF(COUNTIF(Lijsten!$A$6:$A$12,$B329)&gt;0,"Inkomst","Uitgave"))</f>
        <v/>
      </c>
      <c r="F329" s="102"/>
      <c r="G329" s="105"/>
      <c r="H329" s="116" t="str">
        <f aca="false">IF($A329="","",YEAR($A329)*100+MONTH($A329))</f>
        <v/>
      </c>
    </row>
    <row r="330" customFormat="false" ht="15" hidden="false" customHeight="false" outlineLevel="0" collapsed="false">
      <c r="A330" s="115"/>
      <c r="B330" s="102"/>
      <c r="C330" s="102"/>
      <c r="D330" s="92"/>
      <c r="E330" s="116" t="str">
        <f aca="false">IF($B330="","",IF(COUNTIF(Lijsten!$A$6:$A$12,$B330)&gt;0,"Inkomst","Uitgave"))</f>
        <v/>
      </c>
      <c r="F330" s="102"/>
      <c r="G330" s="105"/>
      <c r="H330" s="116" t="str">
        <f aca="false">IF($A330="","",YEAR($A330)*100+MONTH($A330))</f>
        <v/>
      </c>
    </row>
    <row r="331" customFormat="false" ht="15" hidden="false" customHeight="false" outlineLevel="0" collapsed="false">
      <c r="A331" s="115"/>
      <c r="B331" s="102"/>
      <c r="C331" s="102"/>
      <c r="D331" s="92"/>
      <c r="E331" s="116" t="str">
        <f aca="false">IF($B331="","",IF(COUNTIF(Lijsten!$A$6:$A$12,$B331)&gt;0,"Inkomst","Uitgave"))</f>
        <v/>
      </c>
      <c r="F331" s="102"/>
      <c r="G331" s="105"/>
      <c r="H331" s="116" t="str">
        <f aca="false">IF($A331="","",YEAR($A331)*100+MONTH($A331))</f>
        <v/>
      </c>
    </row>
    <row r="332" customFormat="false" ht="15" hidden="false" customHeight="false" outlineLevel="0" collapsed="false">
      <c r="A332" s="115"/>
      <c r="B332" s="102"/>
      <c r="C332" s="102"/>
      <c r="D332" s="92"/>
      <c r="E332" s="116" t="str">
        <f aca="false">IF($B332="","",IF(COUNTIF(Lijsten!$A$6:$A$12,$B332)&gt;0,"Inkomst","Uitgave"))</f>
        <v/>
      </c>
      <c r="F332" s="102"/>
      <c r="G332" s="105"/>
      <c r="H332" s="116" t="str">
        <f aca="false">IF($A332="","",YEAR($A332)*100+MONTH($A332))</f>
        <v/>
      </c>
    </row>
    <row r="333" customFormat="false" ht="15" hidden="false" customHeight="false" outlineLevel="0" collapsed="false">
      <c r="A333" s="115"/>
      <c r="B333" s="102"/>
      <c r="C333" s="102"/>
      <c r="D333" s="92"/>
      <c r="E333" s="116" t="str">
        <f aca="false">IF($B333="","",IF(COUNTIF(Lijsten!$A$6:$A$12,$B333)&gt;0,"Inkomst","Uitgave"))</f>
        <v/>
      </c>
      <c r="F333" s="102"/>
      <c r="G333" s="105"/>
      <c r="H333" s="116" t="str">
        <f aca="false">IF($A333="","",YEAR($A333)*100+MONTH($A333))</f>
        <v/>
      </c>
    </row>
    <row r="334" customFormat="false" ht="15" hidden="false" customHeight="false" outlineLevel="0" collapsed="false">
      <c r="A334" s="115"/>
      <c r="B334" s="102"/>
      <c r="C334" s="102"/>
      <c r="D334" s="92"/>
      <c r="E334" s="116" t="str">
        <f aca="false">IF($B334="","",IF(COUNTIF(Lijsten!$A$6:$A$12,$B334)&gt;0,"Inkomst","Uitgave"))</f>
        <v/>
      </c>
      <c r="F334" s="102"/>
      <c r="G334" s="105"/>
      <c r="H334" s="116" t="str">
        <f aca="false">IF($A334="","",YEAR($A334)*100+MONTH($A334))</f>
        <v/>
      </c>
    </row>
    <row r="335" customFormat="false" ht="15" hidden="false" customHeight="false" outlineLevel="0" collapsed="false">
      <c r="A335" s="115"/>
      <c r="B335" s="102"/>
      <c r="C335" s="102"/>
      <c r="D335" s="92"/>
      <c r="E335" s="116" t="str">
        <f aca="false">IF($B335="","",IF(COUNTIF(Lijsten!$A$6:$A$12,$B335)&gt;0,"Inkomst","Uitgave"))</f>
        <v/>
      </c>
      <c r="F335" s="102"/>
      <c r="G335" s="105"/>
      <c r="H335" s="116" t="str">
        <f aca="false">IF($A335="","",YEAR($A335)*100+MONTH($A335))</f>
        <v/>
      </c>
    </row>
    <row r="336" customFormat="false" ht="15" hidden="false" customHeight="false" outlineLevel="0" collapsed="false">
      <c r="A336" s="115"/>
      <c r="B336" s="102"/>
      <c r="C336" s="102"/>
      <c r="D336" s="92"/>
      <c r="E336" s="116" t="str">
        <f aca="false">IF($B336="","",IF(COUNTIF(Lijsten!$A$6:$A$12,$B336)&gt;0,"Inkomst","Uitgave"))</f>
        <v/>
      </c>
      <c r="F336" s="102"/>
      <c r="G336" s="105"/>
      <c r="H336" s="116" t="str">
        <f aca="false">IF($A336="","",YEAR($A336)*100+MONTH($A336))</f>
        <v/>
      </c>
    </row>
    <row r="337" customFormat="false" ht="15" hidden="false" customHeight="false" outlineLevel="0" collapsed="false">
      <c r="A337" s="115"/>
      <c r="B337" s="102"/>
      <c r="C337" s="102"/>
      <c r="D337" s="92"/>
      <c r="E337" s="116" t="str">
        <f aca="false">IF($B337="","",IF(COUNTIF(Lijsten!$A$6:$A$12,$B337)&gt;0,"Inkomst","Uitgave"))</f>
        <v/>
      </c>
      <c r="F337" s="102"/>
      <c r="G337" s="105"/>
      <c r="H337" s="116" t="str">
        <f aca="false">IF($A337="","",YEAR($A337)*100+MONTH($A337))</f>
        <v/>
      </c>
    </row>
    <row r="338" customFormat="false" ht="15" hidden="false" customHeight="false" outlineLevel="0" collapsed="false">
      <c r="A338" s="115"/>
      <c r="B338" s="102"/>
      <c r="C338" s="102"/>
      <c r="D338" s="92"/>
      <c r="E338" s="116" t="str">
        <f aca="false">IF($B338="","",IF(COUNTIF(Lijsten!$A$6:$A$12,$B338)&gt;0,"Inkomst","Uitgave"))</f>
        <v/>
      </c>
      <c r="F338" s="102"/>
      <c r="G338" s="105"/>
      <c r="H338" s="116" t="str">
        <f aca="false">IF($A338="","",YEAR($A338)*100+MONTH($A338))</f>
        <v/>
      </c>
    </row>
    <row r="339" customFormat="false" ht="15" hidden="false" customHeight="false" outlineLevel="0" collapsed="false">
      <c r="A339" s="115"/>
      <c r="B339" s="102"/>
      <c r="C339" s="102"/>
      <c r="D339" s="92"/>
      <c r="E339" s="116" t="str">
        <f aca="false">IF($B339="","",IF(COUNTIF(Lijsten!$A$6:$A$12,$B339)&gt;0,"Inkomst","Uitgave"))</f>
        <v/>
      </c>
      <c r="F339" s="102"/>
      <c r="G339" s="105"/>
      <c r="H339" s="116" t="str">
        <f aca="false">IF($A339="","",YEAR($A339)*100+MONTH($A339))</f>
        <v/>
      </c>
    </row>
    <row r="340" customFormat="false" ht="15" hidden="false" customHeight="false" outlineLevel="0" collapsed="false">
      <c r="A340" s="115"/>
      <c r="B340" s="102"/>
      <c r="C340" s="102"/>
      <c r="D340" s="92"/>
      <c r="E340" s="116" t="str">
        <f aca="false">IF($B340="","",IF(COUNTIF(Lijsten!$A$6:$A$12,$B340)&gt;0,"Inkomst","Uitgave"))</f>
        <v/>
      </c>
      <c r="F340" s="102"/>
      <c r="G340" s="105"/>
      <c r="H340" s="116" t="str">
        <f aca="false">IF($A340="","",YEAR($A340)*100+MONTH($A340))</f>
        <v/>
      </c>
    </row>
    <row r="341" customFormat="false" ht="15" hidden="false" customHeight="false" outlineLevel="0" collapsed="false">
      <c r="A341" s="115"/>
      <c r="B341" s="102"/>
      <c r="C341" s="102"/>
      <c r="D341" s="92"/>
      <c r="E341" s="116" t="str">
        <f aca="false">IF($B341="","",IF(COUNTIF(Lijsten!$A$6:$A$12,$B341)&gt;0,"Inkomst","Uitgave"))</f>
        <v/>
      </c>
      <c r="F341" s="102"/>
      <c r="G341" s="105"/>
      <c r="H341" s="116" t="str">
        <f aca="false">IF($A341="","",YEAR($A341)*100+MONTH($A341))</f>
        <v/>
      </c>
    </row>
    <row r="342" customFormat="false" ht="15" hidden="false" customHeight="false" outlineLevel="0" collapsed="false">
      <c r="A342" s="115"/>
      <c r="B342" s="102"/>
      <c r="C342" s="102"/>
      <c r="D342" s="92"/>
      <c r="E342" s="116" t="str">
        <f aca="false">IF($B342="","",IF(COUNTIF(Lijsten!$A$6:$A$12,$B342)&gt;0,"Inkomst","Uitgave"))</f>
        <v/>
      </c>
      <c r="F342" s="102"/>
      <c r="G342" s="105"/>
      <c r="H342" s="116" t="str">
        <f aca="false">IF($A342="","",YEAR($A342)*100+MONTH($A342))</f>
        <v/>
      </c>
    </row>
    <row r="343" customFormat="false" ht="15" hidden="false" customHeight="false" outlineLevel="0" collapsed="false">
      <c r="A343" s="115"/>
      <c r="B343" s="102"/>
      <c r="C343" s="102"/>
      <c r="D343" s="92"/>
      <c r="E343" s="116" t="str">
        <f aca="false">IF($B343="","",IF(COUNTIF(Lijsten!$A$6:$A$12,$B343)&gt;0,"Inkomst","Uitgave"))</f>
        <v/>
      </c>
      <c r="F343" s="102"/>
      <c r="G343" s="105"/>
      <c r="H343" s="116" t="str">
        <f aca="false">IF($A343="","",YEAR($A343)*100+MONTH($A343))</f>
        <v/>
      </c>
    </row>
    <row r="344" customFormat="false" ht="15" hidden="false" customHeight="false" outlineLevel="0" collapsed="false">
      <c r="A344" s="115"/>
      <c r="B344" s="102"/>
      <c r="C344" s="102"/>
      <c r="D344" s="92"/>
      <c r="E344" s="116" t="str">
        <f aca="false">IF($B344="","",IF(COUNTIF(Lijsten!$A$6:$A$12,$B344)&gt;0,"Inkomst","Uitgave"))</f>
        <v/>
      </c>
      <c r="F344" s="102"/>
      <c r="G344" s="105"/>
      <c r="H344" s="116" t="str">
        <f aca="false">IF($A344="","",YEAR($A344)*100+MONTH($A344))</f>
        <v/>
      </c>
    </row>
    <row r="345" customFormat="false" ht="15" hidden="false" customHeight="false" outlineLevel="0" collapsed="false">
      <c r="A345" s="115"/>
      <c r="B345" s="102"/>
      <c r="C345" s="102"/>
      <c r="D345" s="92"/>
      <c r="E345" s="116" t="str">
        <f aca="false">IF($B345="","",IF(COUNTIF(Lijsten!$A$6:$A$12,$B345)&gt;0,"Inkomst","Uitgave"))</f>
        <v/>
      </c>
      <c r="F345" s="102"/>
      <c r="G345" s="105"/>
      <c r="H345" s="116" t="str">
        <f aca="false">IF($A345="","",YEAR($A345)*100+MONTH($A345))</f>
        <v/>
      </c>
    </row>
    <row r="346" customFormat="false" ht="15" hidden="false" customHeight="false" outlineLevel="0" collapsed="false">
      <c r="A346" s="115"/>
      <c r="B346" s="102"/>
      <c r="C346" s="102"/>
      <c r="D346" s="92"/>
      <c r="E346" s="116" t="str">
        <f aca="false">IF($B346="","",IF(COUNTIF(Lijsten!$A$6:$A$12,$B346)&gt;0,"Inkomst","Uitgave"))</f>
        <v/>
      </c>
      <c r="F346" s="102"/>
      <c r="G346" s="105"/>
      <c r="H346" s="116" t="str">
        <f aca="false">IF($A346="","",YEAR($A346)*100+MONTH($A346))</f>
        <v/>
      </c>
    </row>
    <row r="347" customFormat="false" ht="15" hidden="false" customHeight="false" outlineLevel="0" collapsed="false">
      <c r="A347" s="115"/>
      <c r="B347" s="102"/>
      <c r="C347" s="102"/>
      <c r="D347" s="92"/>
      <c r="E347" s="116" t="str">
        <f aca="false">IF($B347="","",IF(COUNTIF(Lijsten!$A$6:$A$12,$B347)&gt;0,"Inkomst","Uitgave"))</f>
        <v/>
      </c>
      <c r="F347" s="102"/>
      <c r="G347" s="105"/>
      <c r="H347" s="116" t="str">
        <f aca="false">IF($A347="","",YEAR($A347)*100+MONTH($A347))</f>
        <v/>
      </c>
    </row>
    <row r="348" customFormat="false" ht="15" hidden="false" customHeight="false" outlineLevel="0" collapsed="false">
      <c r="A348" s="115"/>
      <c r="B348" s="102"/>
      <c r="C348" s="102"/>
      <c r="D348" s="92"/>
      <c r="E348" s="116" t="str">
        <f aca="false">IF($B348="","",IF(COUNTIF(Lijsten!$A$6:$A$12,$B348)&gt;0,"Inkomst","Uitgave"))</f>
        <v/>
      </c>
      <c r="F348" s="102"/>
      <c r="G348" s="105"/>
      <c r="H348" s="116" t="str">
        <f aca="false">IF($A348="","",YEAR($A348)*100+MONTH($A348))</f>
        <v/>
      </c>
    </row>
    <row r="349" customFormat="false" ht="15" hidden="false" customHeight="false" outlineLevel="0" collapsed="false">
      <c r="A349" s="115"/>
      <c r="B349" s="102"/>
      <c r="C349" s="102"/>
      <c r="D349" s="92"/>
      <c r="E349" s="116" t="str">
        <f aca="false">IF($B349="","",IF(COUNTIF(Lijsten!$A$6:$A$12,$B349)&gt;0,"Inkomst","Uitgave"))</f>
        <v/>
      </c>
      <c r="F349" s="102"/>
      <c r="G349" s="105"/>
      <c r="H349" s="116" t="str">
        <f aca="false">IF($A349="","",YEAR($A349)*100+MONTH($A349))</f>
        <v/>
      </c>
    </row>
    <row r="350" customFormat="false" ht="15" hidden="false" customHeight="false" outlineLevel="0" collapsed="false">
      <c r="A350" s="115"/>
      <c r="B350" s="102"/>
      <c r="C350" s="102"/>
      <c r="D350" s="92"/>
      <c r="E350" s="116" t="str">
        <f aca="false">IF($B350="","",IF(COUNTIF(Lijsten!$A$6:$A$12,$B350)&gt;0,"Inkomst","Uitgave"))</f>
        <v/>
      </c>
      <c r="F350" s="102"/>
      <c r="G350" s="105"/>
      <c r="H350" s="116" t="str">
        <f aca="false">IF($A350="","",YEAR($A350)*100+MONTH($A350))</f>
        <v/>
      </c>
    </row>
    <row r="351" customFormat="false" ht="15" hidden="false" customHeight="false" outlineLevel="0" collapsed="false">
      <c r="A351" s="115"/>
      <c r="B351" s="102"/>
      <c r="C351" s="102"/>
      <c r="D351" s="92"/>
      <c r="E351" s="116" t="str">
        <f aca="false">IF($B351="","",IF(COUNTIF(Lijsten!$A$6:$A$12,$B351)&gt;0,"Inkomst","Uitgave"))</f>
        <v/>
      </c>
      <c r="F351" s="102"/>
      <c r="G351" s="105"/>
      <c r="H351" s="116" t="str">
        <f aca="false">IF($A351="","",YEAR($A351)*100+MONTH($A351))</f>
        <v/>
      </c>
    </row>
    <row r="352" customFormat="false" ht="15" hidden="false" customHeight="false" outlineLevel="0" collapsed="false">
      <c r="A352" s="115"/>
      <c r="B352" s="102"/>
      <c r="C352" s="102"/>
      <c r="D352" s="92"/>
      <c r="E352" s="116" t="str">
        <f aca="false">IF($B352="","",IF(COUNTIF(Lijsten!$A$6:$A$12,$B352)&gt;0,"Inkomst","Uitgave"))</f>
        <v/>
      </c>
      <c r="F352" s="102"/>
      <c r="G352" s="105"/>
      <c r="H352" s="116" t="str">
        <f aca="false">IF($A352="","",YEAR($A352)*100+MONTH($A352))</f>
        <v/>
      </c>
    </row>
    <row r="353" customFormat="false" ht="15" hidden="false" customHeight="false" outlineLevel="0" collapsed="false">
      <c r="A353" s="115"/>
      <c r="B353" s="102"/>
      <c r="C353" s="102"/>
      <c r="D353" s="92"/>
      <c r="E353" s="116" t="str">
        <f aca="false">IF($B353="","",IF(COUNTIF(Lijsten!$A$6:$A$12,$B353)&gt;0,"Inkomst","Uitgave"))</f>
        <v/>
      </c>
      <c r="F353" s="102"/>
      <c r="G353" s="105"/>
      <c r="H353" s="116" t="str">
        <f aca="false">IF($A353="","",YEAR($A353)*100+MONTH($A353))</f>
        <v/>
      </c>
    </row>
    <row r="354" customFormat="false" ht="15" hidden="false" customHeight="false" outlineLevel="0" collapsed="false">
      <c r="A354" s="115"/>
      <c r="B354" s="102"/>
      <c r="C354" s="102"/>
      <c r="D354" s="92"/>
      <c r="E354" s="116" t="str">
        <f aca="false">IF($B354="","",IF(COUNTIF(Lijsten!$A$6:$A$12,$B354)&gt;0,"Inkomst","Uitgave"))</f>
        <v/>
      </c>
      <c r="F354" s="102"/>
      <c r="G354" s="105"/>
      <c r="H354" s="116" t="str">
        <f aca="false">IF($A354="","",YEAR($A354)*100+MONTH($A354))</f>
        <v/>
      </c>
    </row>
    <row r="355" customFormat="false" ht="15" hidden="false" customHeight="false" outlineLevel="0" collapsed="false">
      <c r="A355" s="115"/>
      <c r="B355" s="102"/>
      <c r="C355" s="102"/>
      <c r="D355" s="92"/>
      <c r="E355" s="116" t="str">
        <f aca="false">IF($B355="","",IF(COUNTIF(Lijsten!$A$6:$A$12,$B355)&gt;0,"Inkomst","Uitgave"))</f>
        <v/>
      </c>
      <c r="F355" s="102"/>
      <c r="G355" s="105"/>
      <c r="H355" s="116" t="str">
        <f aca="false">IF($A355="","",YEAR($A355)*100+MONTH($A355))</f>
        <v/>
      </c>
    </row>
    <row r="356" customFormat="false" ht="15" hidden="false" customHeight="false" outlineLevel="0" collapsed="false">
      <c r="A356" s="115"/>
      <c r="B356" s="102"/>
      <c r="C356" s="102"/>
      <c r="D356" s="92"/>
      <c r="E356" s="116" t="str">
        <f aca="false">IF($B356="","",IF(COUNTIF(Lijsten!$A$6:$A$12,$B356)&gt;0,"Inkomst","Uitgave"))</f>
        <v/>
      </c>
      <c r="F356" s="102"/>
      <c r="G356" s="105"/>
      <c r="H356" s="116" t="str">
        <f aca="false">IF($A356="","",YEAR($A356)*100+MONTH($A356))</f>
        <v/>
      </c>
    </row>
    <row r="357" customFormat="false" ht="15" hidden="false" customHeight="false" outlineLevel="0" collapsed="false">
      <c r="A357" s="115"/>
      <c r="B357" s="102"/>
      <c r="C357" s="102"/>
      <c r="D357" s="92"/>
      <c r="E357" s="116" t="str">
        <f aca="false">IF($B357="","",IF(COUNTIF(Lijsten!$A$6:$A$12,$B357)&gt;0,"Inkomst","Uitgave"))</f>
        <v/>
      </c>
      <c r="F357" s="102"/>
      <c r="G357" s="105"/>
      <c r="H357" s="116" t="str">
        <f aca="false">IF($A357="","",YEAR($A357)*100+MONTH($A357))</f>
        <v/>
      </c>
    </row>
    <row r="358" customFormat="false" ht="15" hidden="false" customHeight="false" outlineLevel="0" collapsed="false">
      <c r="A358" s="115"/>
      <c r="B358" s="102"/>
      <c r="C358" s="102"/>
      <c r="D358" s="92"/>
      <c r="E358" s="116" t="str">
        <f aca="false">IF($B358="","",IF(COUNTIF(Lijsten!$A$6:$A$12,$B358)&gt;0,"Inkomst","Uitgave"))</f>
        <v/>
      </c>
      <c r="F358" s="102"/>
      <c r="G358" s="105"/>
      <c r="H358" s="116" t="str">
        <f aca="false">IF($A358="","",YEAR($A358)*100+MONTH($A358))</f>
        <v/>
      </c>
    </row>
    <row r="359" customFormat="false" ht="15" hidden="false" customHeight="false" outlineLevel="0" collapsed="false">
      <c r="A359" s="115"/>
      <c r="B359" s="102"/>
      <c r="C359" s="102"/>
      <c r="D359" s="92"/>
      <c r="E359" s="116" t="str">
        <f aca="false">IF($B359="","",IF(COUNTIF(Lijsten!$A$6:$A$12,$B359)&gt;0,"Inkomst","Uitgave"))</f>
        <v/>
      </c>
      <c r="F359" s="102"/>
      <c r="G359" s="105"/>
      <c r="H359" s="116" t="str">
        <f aca="false">IF($A359="","",YEAR($A359)*100+MONTH($A359))</f>
        <v/>
      </c>
    </row>
    <row r="360" customFormat="false" ht="15" hidden="false" customHeight="false" outlineLevel="0" collapsed="false">
      <c r="A360" s="115"/>
      <c r="B360" s="102"/>
      <c r="C360" s="102"/>
      <c r="D360" s="92"/>
      <c r="E360" s="116" t="str">
        <f aca="false">IF($B360="","",IF(COUNTIF(Lijsten!$A$6:$A$12,$B360)&gt;0,"Inkomst","Uitgave"))</f>
        <v/>
      </c>
      <c r="F360" s="102"/>
      <c r="G360" s="105"/>
      <c r="H360" s="116" t="str">
        <f aca="false">IF($A360="","",YEAR($A360)*100+MONTH($A360))</f>
        <v/>
      </c>
    </row>
    <row r="361" customFormat="false" ht="15" hidden="false" customHeight="false" outlineLevel="0" collapsed="false">
      <c r="A361" s="115"/>
      <c r="B361" s="102"/>
      <c r="C361" s="102"/>
      <c r="D361" s="92"/>
      <c r="E361" s="116" t="str">
        <f aca="false">IF($B361="","",IF(COUNTIF(Lijsten!$A$6:$A$12,$B361)&gt;0,"Inkomst","Uitgave"))</f>
        <v/>
      </c>
      <c r="F361" s="102"/>
      <c r="G361" s="105"/>
      <c r="H361" s="116" t="str">
        <f aca="false">IF($A361="","",YEAR($A361)*100+MONTH($A361))</f>
        <v/>
      </c>
    </row>
    <row r="362" customFormat="false" ht="15" hidden="false" customHeight="false" outlineLevel="0" collapsed="false">
      <c r="A362" s="115"/>
      <c r="B362" s="102"/>
      <c r="C362" s="102"/>
      <c r="D362" s="92"/>
      <c r="E362" s="116" t="str">
        <f aca="false">IF($B362="","",IF(COUNTIF(Lijsten!$A$6:$A$12,$B362)&gt;0,"Inkomst","Uitgave"))</f>
        <v/>
      </c>
      <c r="F362" s="102"/>
      <c r="G362" s="105"/>
      <c r="H362" s="116" t="str">
        <f aca="false">IF($A362="","",YEAR($A362)*100+MONTH($A362))</f>
        <v/>
      </c>
    </row>
    <row r="363" customFormat="false" ht="15" hidden="false" customHeight="false" outlineLevel="0" collapsed="false">
      <c r="A363" s="115"/>
      <c r="B363" s="102"/>
      <c r="C363" s="102"/>
      <c r="D363" s="92"/>
      <c r="E363" s="116" t="str">
        <f aca="false">IF($B363="","",IF(COUNTIF(Lijsten!$A$6:$A$12,$B363)&gt;0,"Inkomst","Uitgave"))</f>
        <v/>
      </c>
      <c r="F363" s="102"/>
      <c r="G363" s="105"/>
      <c r="H363" s="116" t="str">
        <f aca="false">IF($A363="","",YEAR($A363)*100+MONTH($A363))</f>
        <v/>
      </c>
    </row>
    <row r="364" customFormat="false" ht="15" hidden="false" customHeight="false" outlineLevel="0" collapsed="false">
      <c r="A364" s="115"/>
      <c r="B364" s="102"/>
      <c r="C364" s="102"/>
      <c r="D364" s="92"/>
      <c r="E364" s="116" t="str">
        <f aca="false">IF($B364="","",IF(COUNTIF(Lijsten!$A$6:$A$12,$B364)&gt;0,"Inkomst","Uitgave"))</f>
        <v/>
      </c>
      <c r="F364" s="102"/>
      <c r="G364" s="105"/>
      <c r="H364" s="116" t="str">
        <f aca="false">IF($A364="","",YEAR($A364)*100+MONTH($A364))</f>
        <v/>
      </c>
    </row>
    <row r="365" customFormat="false" ht="15" hidden="false" customHeight="false" outlineLevel="0" collapsed="false">
      <c r="A365" s="115"/>
      <c r="B365" s="102"/>
      <c r="C365" s="102"/>
      <c r="D365" s="92"/>
      <c r="E365" s="116" t="str">
        <f aca="false">IF($B365="","",IF(COUNTIF(Lijsten!$A$6:$A$12,$B365)&gt;0,"Inkomst","Uitgave"))</f>
        <v/>
      </c>
      <c r="F365" s="102"/>
      <c r="G365" s="105"/>
      <c r="H365" s="116" t="str">
        <f aca="false">IF($A365="","",YEAR($A365)*100+MONTH($A365))</f>
        <v/>
      </c>
    </row>
    <row r="366" customFormat="false" ht="15" hidden="false" customHeight="false" outlineLevel="0" collapsed="false">
      <c r="A366" s="115"/>
      <c r="B366" s="102"/>
      <c r="C366" s="102"/>
      <c r="D366" s="92"/>
      <c r="E366" s="116" t="str">
        <f aca="false">IF($B366="","",IF(COUNTIF(Lijsten!$A$6:$A$12,$B366)&gt;0,"Inkomst","Uitgave"))</f>
        <v/>
      </c>
      <c r="F366" s="102"/>
      <c r="G366" s="105"/>
      <c r="H366" s="116" t="str">
        <f aca="false">IF($A366="","",YEAR($A366)*100+MONTH($A366))</f>
        <v/>
      </c>
    </row>
    <row r="367" customFormat="false" ht="15" hidden="false" customHeight="false" outlineLevel="0" collapsed="false">
      <c r="A367" s="115"/>
      <c r="B367" s="102"/>
      <c r="C367" s="102"/>
      <c r="D367" s="92"/>
      <c r="E367" s="116" t="str">
        <f aca="false">IF($B367="","",IF(COUNTIF(Lijsten!$A$6:$A$12,$B367)&gt;0,"Inkomst","Uitgave"))</f>
        <v/>
      </c>
      <c r="F367" s="102"/>
      <c r="G367" s="105"/>
      <c r="H367" s="116" t="str">
        <f aca="false">IF($A367="","",YEAR($A367)*100+MONTH($A367))</f>
        <v/>
      </c>
    </row>
    <row r="368" customFormat="false" ht="15" hidden="false" customHeight="false" outlineLevel="0" collapsed="false">
      <c r="A368" s="115"/>
      <c r="B368" s="102"/>
      <c r="C368" s="102"/>
      <c r="D368" s="92"/>
      <c r="E368" s="116" t="str">
        <f aca="false">IF($B368="","",IF(COUNTIF(Lijsten!$A$6:$A$12,$B368)&gt;0,"Inkomst","Uitgave"))</f>
        <v/>
      </c>
      <c r="F368" s="102"/>
      <c r="G368" s="105"/>
      <c r="H368" s="116" t="str">
        <f aca="false">IF($A368="","",YEAR($A368)*100+MONTH($A368))</f>
        <v/>
      </c>
    </row>
    <row r="369" customFormat="false" ht="15" hidden="false" customHeight="false" outlineLevel="0" collapsed="false">
      <c r="A369" s="115"/>
      <c r="B369" s="102"/>
      <c r="C369" s="102"/>
      <c r="D369" s="92"/>
      <c r="E369" s="116" t="str">
        <f aca="false">IF($B369="","",IF(COUNTIF(Lijsten!$A$6:$A$12,$B369)&gt;0,"Inkomst","Uitgave"))</f>
        <v/>
      </c>
      <c r="F369" s="102"/>
      <c r="G369" s="105"/>
      <c r="H369" s="116" t="str">
        <f aca="false">IF($A369="","",YEAR($A369)*100+MONTH($A369))</f>
        <v/>
      </c>
    </row>
    <row r="370" customFormat="false" ht="15" hidden="false" customHeight="false" outlineLevel="0" collapsed="false">
      <c r="A370" s="115"/>
      <c r="B370" s="102"/>
      <c r="C370" s="102"/>
      <c r="D370" s="92"/>
      <c r="E370" s="116" t="str">
        <f aca="false">IF($B370="","",IF(COUNTIF(Lijsten!$A$6:$A$12,$B370)&gt;0,"Inkomst","Uitgave"))</f>
        <v/>
      </c>
      <c r="F370" s="102"/>
      <c r="G370" s="105"/>
      <c r="H370" s="116" t="str">
        <f aca="false">IF($A370="","",YEAR($A370)*100+MONTH($A370))</f>
        <v/>
      </c>
    </row>
    <row r="371" customFormat="false" ht="15" hidden="false" customHeight="false" outlineLevel="0" collapsed="false">
      <c r="A371" s="115"/>
      <c r="B371" s="102"/>
      <c r="C371" s="102"/>
      <c r="D371" s="92"/>
      <c r="E371" s="116" t="str">
        <f aca="false">IF($B371="","",IF(COUNTIF(Lijsten!$A$6:$A$12,$B371)&gt;0,"Inkomst","Uitgave"))</f>
        <v/>
      </c>
      <c r="F371" s="102"/>
      <c r="G371" s="105"/>
      <c r="H371" s="116" t="str">
        <f aca="false">IF($A371="","",YEAR($A371)*100+MONTH($A371))</f>
        <v/>
      </c>
    </row>
    <row r="372" customFormat="false" ht="15" hidden="false" customHeight="false" outlineLevel="0" collapsed="false">
      <c r="A372" s="115"/>
      <c r="B372" s="102"/>
      <c r="C372" s="102"/>
      <c r="D372" s="92"/>
      <c r="E372" s="116" t="str">
        <f aca="false">IF($B372="","",IF(COUNTIF(Lijsten!$A$6:$A$12,$B372)&gt;0,"Inkomst","Uitgave"))</f>
        <v/>
      </c>
      <c r="F372" s="102"/>
      <c r="G372" s="105"/>
      <c r="H372" s="116" t="str">
        <f aca="false">IF($A372="","",YEAR($A372)*100+MONTH($A372))</f>
        <v/>
      </c>
    </row>
    <row r="373" customFormat="false" ht="15" hidden="false" customHeight="false" outlineLevel="0" collapsed="false">
      <c r="A373" s="115"/>
      <c r="B373" s="102"/>
      <c r="C373" s="102"/>
      <c r="D373" s="92"/>
      <c r="E373" s="116" t="str">
        <f aca="false">IF($B373="","",IF(COUNTIF(Lijsten!$A$6:$A$12,$B373)&gt;0,"Inkomst","Uitgave"))</f>
        <v/>
      </c>
      <c r="F373" s="102"/>
      <c r="G373" s="105"/>
      <c r="H373" s="116" t="str">
        <f aca="false">IF($A373="","",YEAR($A373)*100+MONTH($A373))</f>
        <v/>
      </c>
    </row>
    <row r="374" customFormat="false" ht="15" hidden="false" customHeight="false" outlineLevel="0" collapsed="false">
      <c r="A374" s="115"/>
      <c r="B374" s="102"/>
      <c r="C374" s="102"/>
      <c r="D374" s="92"/>
      <c r="E374" s="116" t="str">
        <f aca="false">IF($B374="","",IF(COUNTIF(Lijsten!$A$6:$A$12,$B374)&gt;0,"Inkomst","Uitgave"))</f>
        <v/>
      </c>
      <c r="F374" s="102"/>
      <c r="G374" s="105"/>
      <c r="H374" s="116" t="str">
        <f aca="false">IF($A374="","",YEAR($A374)*100+MONTH($A374))</f>
        <v/>
      </c>
    </row>
    <row r="375" customFormat="false" ht="15" hidden="false" customHeight="false" outlineLevel="0" collapsed="false">
      <c r="A375" s="115"/>
      <c r="B375" s="102"/>
      <c r="C375" s="102"/>
      <c r="D375" s="92"/>
      <c r="E375" s="116" t="str">
        <f aca="false">IF($B375="","",IF(COUNTIF(Lijsten!$A$6:$A$12,$B375)&gt;0,"Inkomst","Uitgave"))</f>
        <v/>
      </c>
      <c r="F375" s="102"/>
      <c r="G375" s="105"/>
      <c r="H375" s="116" t="str">
        <f aca="false">IF($A375="","",YEAR($A375)*100+MONTH($A375))</f>
        <v/>
      </c>
    </row>
    <row r="376" customFormat="false" ht="15" hidden="false" customHeight="false" outlineLevel="0" collapsed="false">
      <c r="A376" s="115"/>
      <c r="B376" s="102"/>
      <c r="C376" s="102"/>
      <c r="D376" s="92"/>
      <c r="E376" s="116" t="str">
        <f aca="false">IF($B376="","",IF(COUNTIF(Lijsten!$A$6:$A$12,$B376)&gt;0,"Inkomst","Uitgave"))</f>
        <v/>
      </c>
      <c r="F376" s="102"/>
      <c r="G376" s="105"/>
      <c r="H376" s="116" t="str">
        <f aca="false">IF($A376="","",YEAR($A376)*100+MONTH($A376))</f>
        <v/>
      </c>
    </row>
    <row r="377" customFormat="false" ht="15" hidden="false" customHeight="false" outlineLevel="0" collapsed="false">
      <c r="A377" s="115"/>
      <c r="B377" s="102"/>
      <c r="C377" s="102"/>
      <c r="D377" s="92"/>
      <c r="E377" s="116" t="str">
        <f aca="false">IF($B377="","",IF(COUNTIF(Lijsten!$A$6:$A$12,$B377)&gt;0,"Inkomst","Uitgave"))</f>
        <v/>
      </c>
      <c r="F377" s="102"/>
      <c r="G377" s="105"/>
      <c r="H377" s="116" t="str">
        <f aca="false">IF($A377="","",YEAR($A377)*100+MONTH($A377))</f>
        <v/>
      </c>
    </row>
    <row r="378" customFormat="false" ht="15" hidden="false" customHeight="false" outlineLevel="0" collapsed="false">
      <c r="A378" s="115"/>
      <c r="B378" s="102"/>
      <c r="C378" s="102"/>
      <c r="D378" s="92"/>
      <c r="E378" s="116" t="str">
        <f aca="false">IF($B378="","",IF(COUNTIF(Lijsten!$A$6:$A$12,$B378)&gt;0,"Inkomst","Uitgave"))</f>
        <v/>
      </c>
      <c r="F378" s="102"/>
      <c r="G378" s="105"/>
      <c r="H378" s="116" t="str">
        <f aca="false">IF($A378="","",YEAR($A378)*100+MONTH($A378))</f>
        <v/>
      </c>
    </row>
    <row r="379" customFormat="false" ht="15" hidden="false" customHeight="false" outlineLevel="0" collapsed="false">
      <c r="A379" s="115"/>
      <c r="B379" s="102"/>
      <c r="C379" s="102"/>
      <c r="D379" s="92"/>
      <c r="E379" s="116" t="str">
        <f aca="false">IF($B379="","",IF(COUNTIF(Lijsten!$A$6:$A$12,$B379)&gt;0,"Inkomst","Uitgave"))</f>
        <v/>
      </c>
      <c r="F379" s="102"/>
      <c r="G379" s="105"/>
      <c r="H379" s="116" t="str">
        <f aca="false">IF($A379="","",YEAR($A379)*100+MONTH($A379))</f>
        <v/>
      </c>
    </row>
    <row r="380" customFormat="false" ht="15" hidden="false" customHeight="false" outlineLevel="0" collapsed="false">
      <c r="A380" s="115"/>
      <c r="B380" s="102"/>
      <c r="C380" s="102"/>
      <c r="D380" s="92"/>
      <c r="E380" s="116" t="str">
        <f aca="false">IF($B380="","",IF(COUNTIF(Lijsten!$A$6:$A$12,$B380)&gt;0,"Inkomst","Uitgave"))</f>
        <v/>
      </c>
      <c r="F380" s="102"/>
      <c r="G380" s="105"/>
      <c r="H380" s="116" t="str">
        <f aca="false">IF($A380="","",YEAR($A380)*100+MONTH($A380))</f>
        <v/>
      </c>
    </row>
    <row r="381" customFormat="false" ht="15" hidden="false" customHeight="false" outlineLevel="0" collapsed="false">
      <c r="A381" s="115"/>
      <c r="B381" s="102"/>
      <c r="C381" s="102"/>
      <c r="D381" s="92"/>
      <c r="E381" s="116" t="str">
        <f aca="false">IF($B381="","",IF(COUNTIF(Lijsten!$A$6:$A$12,$B381)&gt;0,"Inkomst","Uitgave"))</f>
        <v/>
      </c>
      <c r="F381" s="102"/>
      <c r="G381" s="105"/>
      <c r="H381" s="116" t="str">
        <f aca="false">IF($A381="","",YEAR($A381)*100+MONTH($A381))</f>
        <v/>
      </c>
    </row>
    <row r="382" customFormat="false" ht="15" hidden="false" customHeight="false" outlineLevel="0" collapsed="false">
      <c r="A382" s="115"/>
      <c r="B382" s="102"/>
      <c r="C382" s="102"/>
      <c r="D382" s="92"/>
      <c r="E382" s="116" t="str">
        <f aca="false">IF($B382="","",IF(COUNTIF(Lijsten!$A$6:$A$12,$B382)&gt;0,"Inkomst","Uitgave"))</f>
        <v/>
      </c>
      <c r="F382" s="102"/>
      <c r="G382" s="105"/>
      <c r="H382" s="116" t="str">
        <f aca="false">IF($A382="","",YEAR($A382)*100+MONTH($A382))</f>
        <v/>
      </c>
    </row>
    <row r="383" customFormat="false" ht="15" hidden="false" customHeight="false" outlineLevel="0" collapsed="false">
      <c r="A383" s="115"/>
      <c r="B383" s="102"/>
      <c r="C383" s="102"/>
      <c r="D383" s="92"/>
      <c r="E383" s="116" t="str">
        <f aca="false">IF($B383="","",IF(COUNTIF(Lijsten!$A$6:$A$12,$B383)&gt;0,"Inkomst","Uitgave"))</f>
        <v/>
      </c>
      <c r="F383" s="102"/>
      <c r="G383" s="105"/>
      <c r="H383" s="116" t="str">
        <f aca="false">IF($A383="","",YEAR($A383)*100+MONTH($A383))</f>
        <v/>
      </c>
    </row>
    <row r="384" customFormat="false" ht="15" hidden="false" customHeight="false" outlineLevel="0" collapsed="false">
      <c r="A384" s="115"/>
      <c r="B384" s="102"/>
      <c r="C384" s="102"/>
      <c r="D384" s="92"/>
      <c r="E384" s="116" t="str">
        <f aca="false">IF($B384="","",IF(COUNTIF(Lijsten!$A$6:$A$12,$B384)&gt;0,"Inkomst","Uitgave"))</f>
        <v/>
      </c>
      <c r="F384" s="102"/>
      <c r="G384" s="105"/>
      <c r="H384" s="116" t="str">
        <f aca="false">IF($A384="","",YEAR($A384)*100+MONTH($A384))</f>
        <v/>
      </c>
    </row>
    <row r="385" customFormat="false" ht="15" hidden="false" customHeight="false" outlineLevel="0" collapsed="false">
      <c r="A385" s="115"/>
      <c r="B385" s="102"/>
      <c r="C385" s="102"/>
      <c r="D385" s="92"/>
      <c r="E385" s="116" t="str">
        <f aca="false">IF($B385="","",IF(COUNTIF(Lijsten!$A$6:$A$12,$B385)&gt;0,"Inkomst","Uitgave"))</f>
        <v/>
      </c>
      <c r="F385" s="102"/>
      <c r="G385" s="105"/>
      <c r="H385" s="116" t="str">
        <f aca="false">IF($A385="","",YEAR($A385)*100+MONTH($A385))</f>
        <v/>
      </c>
    </row>
    <row r="386" customFormat="false" ht="15" hidden="false" customHeight="false" outlineLevel="0" collapsed="false">
      <c r="A386" s="115"/>
      <c r="B386" s="102"/>
      <c r="C386" s="102"/>
      <c r="D386" s="92"/>
      <c r="E386" s="116" t="str">
        <f aca="false">IF($B386="","",IF(COUNTIF(Lijsten!$A$6:$A$12,$B386)&gt;0,"Inkomst","Uitgave"))</f>
        <v/>
      </c>
      <c r="F386" s="102"/>
      <c r="G386" s="105"/>
      <c r="H386" s="116" t="str">
        <f aca="false">IF($A386="","",YEAR($A386)*100+MONTH($A386))</f>
        <v/>
      </c>
    </row>
    <row r="387" customFormat="false" ht="15" hidden="false" customHeight="false" outlineLevel="0" collapsed="false">
      <c r="A387" s="115"/>
      <c r="B387" s="102"/>
      <c r="C387" s="102"/>
      <c r="D387" s="92"/>
      <c r="E387" s="116" t="str">
        <f aca="false">IF($B387="","",IF(COUNTIF(Lijsten!$A$6:$A$12,$B387)&gt;0,"Inkomst","Uitgave"))</f>
        <v/>
      </c>
      <c r="F387" s="102"/>
      <c r="G387" s="105"/>
      <c r="H387" s="116" t="str">
        <f aca="false">IF($A387="","",YEAR($A387)*100+MONTH($A387))</f>
        <v/>
      </c>
    </row>
    <row r="388" customFormat="false" ht="15" hidden="false" customHeight="false" outlineLevel="0" collapsed="false">
      <c r="A388" s="115"/>
      <c r="B388" s="102"/>
      <c r="C388" s="102"/>
      <c r="D388" s="92"/>
      <c r="E388" s="116" t="str">
        <f aca="false">IF($B388="","",IF(COUNTIF(Lijsten!$A$6:$A$12,$B388)&gt;0,"Inkomst","Uitgave"))</f>
        <v/>
      </c>
      <c r="F388" s="102"/>
      <c r="G388" s="105"/>
      <c r="H388" s="116" t="str">
        <f aca="false">IF($A388="","",YEAR($A388)*100+MONTH($A388))</f>
        <v/>
      </c>
    </row>
    <row r="389" customFormat="false" ht="15" hidden="false" customHeight="false" outlineLevel="0" collapsed="false">
      <c r="A389" s="115"/>
      <c r="B389" s="102"/>
      <c r="C389" s="102"/>
      <c r="D389" s="92"/>
      <c r="E389" s="116" t="str">
        <f aca="false">IF($B389="","",IF(COUNTIF(Lijsten!$A$6:$A$12,$B389)&gt;0,"Inkomst","Uitgave"))</f>
        <v/>
      </c>
      <c r="F389" s="102"/>
      <c r="G389" s="105"/>
      <c r="H389" s="116" t="str">
        <f aca="false">IF($A389="","",YEAR($A389)*100+MONTH($A389))</f>
        <v/>
      </c>
    </row>
    <row r="390" customFormat="false" ht="15" hidden="false" customHeight="false" outlineLevel="0" collapsed="false">
      <c r="A390" s="115"/>
      <c r="B390" s="102"/>
      <c r="C390" s="102"/>
      <c r="D390" s="92"/>
      <c r="E390" s="116" t="str">
        <f aca="false">IF($B390="","",IF(COUNTIF(Lijsten!$A$6:$A$12,$B390)&gt;0,"Inkomst","Uitgave"))</f>
        <v/>
      </c>
      <c r="F390" s="102"/>
      <c r="G390" s="105"/>
      <c r="H390" s="116" t="str">
        <f aca="false">IF($A390="","",YEAR($A390)*100+MONTH($A390))</f>
        <v/>
      </c>
    </row>
    <row r="391" customFormat="false" ht="15" hidden="false" customHeight="false" outlineLevel="0" collapsed="false">
      <c r="A391" s="115"/>
      <c r="B391" s="102"/>
      <c r="C391" s="102"/>
      <c r="D391" s="92"/>
      <c r="E391" s="116" t="str">
        <f aca="false">IF($B391="","",IF(COUNTIF(Lijsten!$A$6:$A$12,$B391)&gt;0,"Inkomst","Uitgave"))</f>
        <v/>
      </c>
      <c r="F391" s="102"/>
      <c r="G391" s="105"/>
      <c r="H391" s="116" t="str">
        <f aca="false">IF($A391="","",YEAR($A391)*100+MONTH($A391))</f>
        <v/>
      </c>
    </row>
    <row r="392" customFormat="false" ht="15" hidden="false" customHeight="false" outlineLevel="0" collapsed="false">
      <c r="A392" s="115"/>
      <c r="B392" s="102"/>
      <c r="C392" s="102"/>
      <c r="D392" s="92"/>
      <c r="E392" s="116" t="str">
        <f aca="false">IF($B392="","",IF(COUNTIF(Lijsten!$A$6:$A$12,$B392)&gt;0,"Inkomst","Uitgave"))</f>
        <v/>
      </c>
      <c r="F392" s="102"/>
      <c r="G392" s="105"/>
      <c r="H392" s="116" t="str">
        <f aca="false">IF($A392="","",YEAR($A392)*100+MONTH($A392))</f>
        <v/>
      </c>
    </row>
    <row r="393" customFormat="false" ht="15" hidden="false" customHeight="false" outlineLevel="0" collapsed="false">
      <c r="A393" s="115"/>
      <c r="B393" s="102"/>
      <c r="C393" s="102"/>
      <c r="D393" s="92"/>
      <c r="E393" s="116" t="str">
        <f aca="false">IF($B393="","",IF(COUNTIF(Lijsten!$A$6:$A$12,$B393)&gt;0,"Inkomst","Uitgave"))</f>
        <v/>
      </c>
      <c r="F393" s="102"/>
      <c r="G393" s="105"/>
      <c r="H393" s="116" t="str">
        <f aca="false">IF($A393="","",YEAR($A393)*100+MONTH($A393))</f>
        <v/>
      </c>
    </row>
    <row r="394" customFormat="false" ht="15" hidden="false" customHeight="false" outlineLevel="0" collapsed="false">
      <c r="A394" s="115"/>
      <c r="B394" s="102"/>
      <c r="C394" s="102"/>
      <c r="D394" s="92"/>
      <c r="E394" s="116" t="str">
        <f aca="false">IF($B394="","",IF(COUNTIF(Lijsten!$A$6:$A$12,$B394)&gt;0,"Inkomst","Uitgave"))</f>
        <v/>
      </c>
      <c r="F394" s="102"/>
      <c r="G394" s="105"/>
      <c r="H394" s="116" t="str">
        <f aca="false">IF($A394="","",YEAR($A394)*100+MONTH($A394))</f>
        <v/>
      </c>
    </row>
    <row r="395" customFormat="false" ht="15" hidden="false" customHeight="false" outlineLevel="0" collapsed="false">
      <c r="A395" s="115"/>
      <c r="B395" s="102"/>
      <c r="C395" s="102"/>
      <c r="D395" s="92"/>
      <c r="E395" s="116" t="str">
        <f aca="false">IF($B395="","",IF(COUNTIF(Lijsten!$A$6:$A$12,$B395)&gt;0,"Inkomst","Uitgave"))</f>
        <v/>
      </c>
      <c r="F395" s="102"/>
      <c r="G395" s="105"/>
      <c r="H395" s="116" t="str">
        <f aca="false">IF($A395="","",YEAR($A395)*100+MONTH($A395))</f>
        <v/>
      </c>
    </row>
    <row r="396" customFormat="false" ht="15" hidden="false" customHeight="false" outlineLevel="0" collapsed="false">
      <c r="A396" s="115"/>
      <c r="B396" s="102"/>
      <c r="C396" s="102"/>
      <c r="D396" s="92"/>
      <c r="E396" s="116" t="str">
        <f aca="false">IF($B396="","",IF(COUNTIF(Lijsten!$A$6:$A$12,$B396)&gt;0,"Inkomst","Uitgave"))</f>
        <v/>
      </c>
      <c r="F396" s="102"/>
      <c r="G396" s="105"/>
      <c r="H396" s="116" t="str">
        <f aca="false">IF($A396="","",YEAR($A396)*100+MONTH($A396))</f>
        <v/>
      </c>
    </row>
    <row r="397" customFormat="false" ht="15" hidden="false" customHeight="false" outlineLevel="0" collapsed="false">
      <c r="A397" s="115"/>
      <c r="B397" s="102"/>
      <c r="C397" s="102"/>
      <c r="D397" s="92"/>
      <c r="E397" s="116" t="str">
        <f aca="false">IF($B397="","",IF(COUNTIF(Lijsten!$A$6:$A$12,$B397)&gt;0,"Inkomst","Uitgave"))</f>
        <v/>
      </c>
      <c r="F397" s="102"/>
      <c r="G397" s="105"/>
      <c r="H397" s="116" t="str">
        <f aca="false">IF($A397="","",YEAR($A397)*100+MONTH($A397))</f>
        <v/>
      </c>
    </row>
    <row r="398" customFormat="false" ht="15" hidden="false" customHeight="false" outlineLevel="0" collapsed="false">
      <c r="A398" s="115"/>
      <c r="B398" s="102"/>
      <c r="C398" s="102"/>
      <c r="D398" s="92"/>
      <c r="E398" s="116" t="str">
        <f aca="false">IF($B398="","",IF(COUNTIF(Lijsten!$A$6:$A$12,$B398)&gt;0,"Inkomst","Uitgave"))</f>
        <v/>
      </c>
      <c r="F398" s="102"/>
      <c r="G398" s="105"/>
      <c r="H398" s="116" t="str">
        <f aca="false">IF($A398="","",YEAR($A398)*100+MONTH($A398))</f>
        <v/>
      </c>
    </row>
    <row r="399" customFormat="false" ht="15" hidden="false" customHeight="false" outlineLevel="0" collapsed="false">
      <c r="A399" s="115"/>
      <c r="B399" s="102"/>
      <c r="C399" s="102"/>
      <c r="D399" s="92"/>
      <c r="E399" s="116" t="str">
        <f aca="false">IF($B399="","",IF(COUNTIF(Lijsten!$A$6:$A$12,$B399)&gt;0,"Inkomst","Uitgave"))</f>
        <v/>
      </c>
      <c r="F399" s="102"/>
      <c r="G399" s="105"/>
      <c r="H399" s="116" t="str">
        <f aca="false">IF($A399="","",YEAR($A399)*100+MONTH($A399))</f>
        <v/>
      </c>
    </row>
    <row r="400" customFormat="false" ht="15" hidden="false" customHeight="false" outlineLevel="0" collapsed="false">
      <c r="A400" s="115"/>
      <c r="B400" s="102"/>
      <c r="C400" s="102"/>
      <c r="D400" s="92"/>
      <c r="E400" s="116" t="str">
        <f aca="false">IF($B400="","",IF(COUNTIF(Lijsten!$A$6:$A$12,$B400)&gt;0,"Inkomst","Uitgave"))</f>
        <v/>
      </c>
      <c r="F400" s="102"/>
      <c r="G400" s="105"/>
      <c r="H400" s="116" t="str">
        <f aca="false">IF($A400="","",YEAR($A400)*100+MONTH($A400))</f>
        <v/>
      </c>
    </row>
    <row r="401" customFormat="false" ht="15" hidden="false" customHeight="false" outlineLevel="0" collapsed="false">
      <c r="A401" s="115"/>
      <c r="B401" s="102"/>
      <c r="C401" s="102"/>
      <c r="D401" s="92"/>
      <c r="E401" s="116" t="str">
        <f aca="false">IF($B401="","",IF(COUNTIF(Lijsten!$A$6:$A$12,$B401)&gt;0,"Inkomst","Uitgave"))</f>
        <v/>
      </c>
      <c r="F401" s="102"/>
      <c r="G401" s="105"/>
      <c r="H401" s="116" t="str">
        <f aca="false">IF($A401="","",YEAR($A401)*100+MONTH($A401))</f>
        <v/>
      </c>
    </row>
    <row r="402" customFormat="false" ht="15" hidden="false" customHeight="false" outlineLevel="0" collapsed="false">
      <c r="A402" s="115"/>
      <c r="B402" s="102"/>
      <c r="C402" s="102"/>
      <c r="D402" s="92"/>
      <c r="E402" s="116" t="str">
        <f aca="false">IF($B402="","",IF(COUNTIF(Lijsten!$A$6:$A$12,$B402)&gt;0,"Inkomst","Uitgave"))</f>
        <v/>
      </c>
      <c r="F402" s="102"/>
      <c r="G402" s="105"/>
      <c r="H402" s="116" t="str">
        <f aca="false">IF($A402="","",YEAR($A402)*100+MONTH($A402))</f>
        <v/>
      </c>
    </row>
    <row r="403" customFormat="false" ht="15" hidden="false" customHeight="false" outlineLevel="0" collapsed="false">
      <c r="A403" s="115"/>
      <c r="B403" s="102"/>
      <c r="C403" s="102"/>
      <c r="D403" s="92"/>
      <c r="E403" s="116" t="str">
        <f aca="false">IF($B403="","",IF(COUNTIF(Lijsten!$A$6:$A$12,$B403)&gt;0,"Inkomst","Uitgave"))</f>
        <v/>
      </c>
      <c r="F403" s="102"/>
      <c r="G403" s="105"/>
      <c r="H403" s="116" t="str">
        <f aca="false">IF($A403="","",YEAR($A403)*100+MONTH($A403))</f>
        <v/>
      </c>
    </row>
    <row r="404" customFormat="false" ht="15" hidden="false" customHeight="false" outlineLevel="0" collapsed="false">
      <c r="A404" s="115"/>
      <c r="B404" s="102"/>
      <c r="C404" s="102"/>
      <c r="D404" s="92"/>
      <c r="E404" s="116" t="str">
        <f aca="false">IF($B404="","",IF(COUNTIF(Lijsten!$A$6:$A$12,$B404)&gt;0,"Inkomst","Uitgave"))</f>
        <v/>
      </c>
      <c r="F404" s="102"/>
      <c r="G404" s="105"/>
      <c r="H404" s="116" t="str">
        <f aca="false">IF($A404="","",YEAR($A404)*100+MONTH($A404))</f>
        <v/>
      </c>
    </row>
    <row r="405" customFormat="false" ht="15" hidden="false" customHeight="false" outlineLevel="0" collapsed="false">
      <c r="A405" s="115"/>
      <c r="B405" s="102"/>
      <c r="C405" s="102"/>
      <c r="D405" s="92"/>
      <c r="E405" s="116" t="str">
        <f aca="false">IF($B405="","",IF(COUNTIF(Lijsten!$A$6:$A$12,$B405)&gt;0,"Inkomst","Uitgave"))</f>
        <v/>
      </c>
      <c r="F405" s="102"/>
      <c r="G405" s="105"/>
      <c r="H405" s="116" t="str">
        <f aca="false">IF($A405="","",YEAR($A405)*100+MONTH($A405))</f>
        <v/>
      </c>
    </row>
    <row r="406" customFormat="false" ht="15" hidden="false" customHeight="false" outlineLevel="0" collapsed="false">
      <c r="A406" s="115"/>
      <c r="B406" s="102"/>
      <c r="C406" s="102"/>
      <c r="D406" s="92"/>
      <c r="E406" s="116" t="str">
        <f aca="false">IF($B406="","",IF(COUNTIF(Lijsten!$A$6:$A$12,$B406)&gt;0,"Inkomst","Uitgave"))</f>
        <v/>
      </c>
      <c r="F406" s="102"/>
      <c r="G406" s="105"/>
      <c r="H406" s="116" t="str">
        <f aca="false">IF($A406="","",YEAR($A406)*100+MONTH($A406))</f>
        <v/>
      </c>
    </row>
    <row r="407" customFormat="false" ht="15" hidden="false" customHeight="false" outlineLevel="0" collapsed="false">
      <c r="A407" s="115"/>
      <c r="B407" s="102"/>
      <c r="C407" s="102"/>
      <c r="D407" s="92"/>
      <c r="E407" s="116" t="str">
        <f aca="false">IF($B407="","",IF(COUNTIF(Lijsten!$A$6:$A$12,$B407)&gt;0,"Inkomst","Uitgave"))</f>
        <v/>
      </c>
      <c r="F407" s="102"/>
      <c r="G407" s="105"/>
      <c r="H407" s="116" t="str">
        <f aca="false">IF($A407="","",YEAR($A407)*100+MONTH($A407))</f>
        <v/>
      </c>
    </row>
    <row r="408" customFormat="false" ht="15" hidden="false" customHeight="false" outlineLevel="0" collapsed="false">
      <c r="A408" s="115"/>
      <c r="B408" s="102"/>
      <c r="C408" s="102"/>
      <c r="D408" s="92"/>
      <c r="E408" s="116" t="str">
        <f aca="false">IF($B408="","",IF(COUNTIF(Lijsten!$A$6:$A$12,$B408)&gt;0,"Inkomst","Uitgave"))</f>
        <v/>
      </c>
      <c r="F408" s="102"/>
      <c r="G408" s="105"/>
      <c r="H408" s="116" t="str">
        <f aca="false">IF($A408="","",YEAR($A408)*100+MONTH($A408))</f>
        <v/>
      </c>
    </row>
    <row r="409" customFormat="false" ht="15" hidden="false" customHeight="false" outlineLevel="0" collapsed="false">
      <c r="A409" s="115"/>
      <c r="B409" s="102"/>
      <c r="C409" s="102"/>
      <c r="D409" s="92"/>
      <c r="E409" s="116" t="str">
        <f aca="false">IF($B409="","",IF(COUNTIF(Lijsten!$A$6:$A$12,$B409)&gt;0,"Inkomst","Uitgave"))</f>
        <v/>
      </c>
      <c r="F409" s="102"/>
      <c r="G409" s="105"/>
      <c r="H409" s="116" t="str">
        <f aca="false">IF($A409="","",YEAR($A409)*100+MONTH($A409))</f>
        <v/>
      </c>
    </row>
    <row r="410" customFormat="false" ht="15" hidden="false" customHeight="false" outlineLevel="0" collapsed="false">
      <c r="A410" s="115"/>
      <c r="B410" s="102"/>
      <c r="C410" s="102"/>
      <c r="D410" s="92"/>
      <c r="E410" s="116" t="str">
        <f aca="false">IF($B410="","",IF(COUNTIF(Lijsten!$A$6:$A$12,$B410)&gt;0,"Inkomst","Uitgave"))</f>
        <v/>
      </c>
      <c r="F410" s="102"/>
      <c r="G410" s="105"/>
      <c r="H410" s="116" t="str">
        <f aca="false">IF($A410="","",YEAR($A410)*100+MONTH($A410))</f>
        <v/>
      </c>
    </row>
    <row r="411" customFormat="false" ht="15" hidden="false" customHeight="false" outlineLevel="0" collapsed="false">
      <c r="A411" s="115"/>
      <c r="B411" s="102"/>
      <c r="C411" s="102"/>
      <c r="D411" s="92"/>
      <c r="E411" s="116" t="str">
        <f aca="false">IF($B411="","",IF(COUNTIF(Lijsten!$A$6:$A$12,$B411)&gt;0,"Inkomst","Uitgave"))</f>
        <v/>
      </c>
      <c r="F411" s="102"/>
      <c r="G411" s="105"/>
      <c r="H411" s="116" t="str">
        <f aca="false">IF($A411="","",YEAR($A411)*100+MONTH($A411))</f>
        <v/>
      </c>
    </row>
    <row r="412" customFormat="false" ht="15" hidden="false" customHeight="false" outlineLevel="0" collapsed="false">
      <c r="A412" s="115"/>
      <c r="B412" s="102"/>
      <c r="C412" s="102"/>
      <c r="D412" s="92"/>
      <c r="E412" s="116" t="str">
        <f aca="false">IF($B412="","",IF(COUNTIF(Lijsten!$A$6:$A$12,$B412)&gt;0,"Inkomst","Uitgave"))</f>
        <v/>
      </c>
      <c r="F412" s="102"/>
      <c r="G412" s="105"/>
      <c r="H412" s="116" t="str">
        <f aca="false">IF($A412="","",YEAR($A412)*100+MONTH($A412))</f>
        <v/>
      </c>
    </row>
    <row r="413" customFormat="false" ht="15" hidden="false" customHeight="false" outlineLevel="0" collapsed="false">
      <c r="A413" s="115"/>
      <c r="B413" s="102"/>
      <c r="C413" s="102"/>
      <c r="D413" s="92"/>
      <c r="E413" s="116" t="str">
        <f aca="false">IF($B413="","",IF(COUNTIF(Lijsten!$A$6:$A$12,$B413)&gt;0,"Inkomst","Uitgave"))</f>
        <v/>
      </c>
      <c r="F413" s="102"/>
      <c r="G413" s="105"/>
      <c r="H413" s="116" t="str">
        <f aca="false">IF($A413="","",YEAR($A413)*100+MONTH($A413))</f>
        <v/>
      </c>
    </row>
    <row r="414" customFormat="false" ht="15" hidden="false" customHeight="false" outlineLevel="0" collapsed="false">
      <c r="A414" s="115"/>
      <c r="B414" s="102"/>
      <c r="C414" s="102"/>
      <c r="D414" s="92"/>
      <c r="E414" s="116" t="str">
        <f aca="false">IF($B414="","",IF(COUNTIF(Lijsten!$A$6:$A$12,$B414)&gt;0,"Inkomst","Uitgave"))</f>
        <v/>
      </c>
      <c r="F414" s="102"/>
      <c r="G414" s="105"/>
      <c r="H414" s="116" t="str">
        <f aca="false">IF($A414="","",YEAR($A414)*100+MONTH($A414))</f>
        <v/>
      </c>
    </row>
    <row r="415" customFormat="false" ht="15" hidden="false" customHeight="false" outlineLevel="0" collapsed="false">
      <c r="A415" s="115"/>
      <c r="B415" s="102"/>
      <c r="C415" s="102"/>
      <c r="D415" s="92"/>
      <c r="E415" s="116" t="str">
        <f aca="false">IF($B415="","",IF(COUNTIF(Lijsten!$A$6:$A$12,$B415)&gt;0,"Inkomst","Uitgave"))</f>
        <v/>
      </c>
      <c r="F415" s="102"/>
      <c r="G415" s="105"/>
      <c r="H415" s="116" t="str">
        <f aca="false">IF($A415="","",YEAR($A415)*100+MONTH($A415))</f>
        <v/>
      </c>
    </row>
    <row r="416" customFormat="false" ht="15" hidden="false" customHeight="false" outlineLevel="0" collapsed="false">
      <c r="A416" s="115"/>
      <c r="B416" s="102"/>
      <c r="C416" s="102"/>
      <c r="D416" s="92"/>
      <c r="E416" s="116" t="str">
        <f aca="false">IF($B416="","",IF(COUNTIF(Lijsten!$A$6:$A$12,$B416)&gt;0,"Inkomst","Uitgave"))</f>
        <v/>
      </c>
      <c r="F416" s="102"/>
      <c r="G416" s="105"/>
      <c r="H416" s="116" t="str">
        <f aca="false">IF($A416="","",YEAR($A416)*100+MONTH($A416))</f>
        <v/>
      </c>
    </row>
    <row r="417" customFormat="false" ht="15" hidden="false" customHeight="false" outlineLevel="0" collapsed="false">
      <c r="A417" s="115"/>
      <c r="B417" s="102"/>
      <c r="C417" s="102"/>
      <c r="D417" s="92"/>
      <c r="E417" s="116" t="str">
        <f aca="false">IF($B417="","",IF(COUNTIF(Lijsten!$A$6:$A$12,$B417)&gt;0,"Inkomst","Uitgave"))</f>
        <v/>
      </c>
      <c r="F417" s="102"/>
      <c r="G417" s="105"/>
      <c r="H417" s="116" t="str">
        <f aca="false">IF($A417="","",YEAR($A417)*100+MONTH($A417))</f>
        <v/>
      </c>
    </row>
    <row r="418" customFormat="false" ht="15" hidden="false" customHeight="false" outlineLevel="0" collapsed="false">
      <c r="A418" s="115"/>
      <c r="B418" s="102"/>
      <c r="C418" s="102"/>
      <c r="D418" s="92"/>
      <c r="E418" s="116" t="str">
        <f aca="false">IF($B418="","",IF(COUNTIF(Lijsten!$A$6:$A$12,$B418)&gt;0,"Inkomst","Uitgave"))</f>
        <v/>
      </c>
      <c r="F418" s="102"/>
      <c r="G418" s="105"/>
      <c r="H418" s="116" t="str">
        <f aca="false">IF($A418="","",YEAR($A418)*100+MONTH($A418))</f>
        <v/>
      </c>
    </row>
    <row r="419" customFormat="false" ht="15" hidden="false" customHeight="false" outlineLevel="0" collapsed="false">
      <c r="A419" s="115"/>
      <c r="B419" s="102"/>
      <c r="C419" s="102"/>
      <c r="D419" s="92"/>
      <c r="E419" s="116" t="str">
        <f aca="false">IF($B419="","",IF(COUNTIF(Lijsten!$A$6:$A$12,$B419)&gt;0,"Inkomst","Uitgave"))</f>
        <v/>
      </c>
      <c r="F419" s="102"/>
      <c r="G419" s="105"/>
      <c r="H419" s="116" t="str">
        <f aca="false">IF($A419="","",YEAR($A419)*100+MONTH($A419))</f>
        <v/>
      </c>
    </row>
    <row r="420" customFormat="false" ht="15" hidden="false" customHeight="false" outlineLevel="0" collapsed="false">
      <c r="A420" s="115"/>
      <c r="B420" s="102"/>
      <c r="C420" s="102"/>
      <c r="D420" s="92"/>
      <c r="E420" s="116" t="str">
        <f aca="false">IF($B420="","",IF(COUNTIF(Lijsten!$A$6:$A$12,$B420)&gt;0,"Inkomst","Uitgave"))</f>
        <v/>
      </c>
      <c r="F420" s="102"/>
      <c r="G420" s="105"/>
      <c r="H420" s="116" t="str">
        <f aca="false">IF($A420="","",YEAR($A420)*100+MONTH($A420))</f>
        <v/>
      </c>
    </row>
    <row r="421" customFormat="false" ht="15" hidden="false" customHeight="false" outlineLevel="0" collapsed="false">
      <c r="A421" s="115"/>
      <c r="B421" s="102"/>
      <c r="C421" s="102"/>
      <c r="D421" s="92"/>
      <c r="E421" s="116" t="str">
        <f aca="false">IF($B421="","",IF(COUNTIF(Lijsten!$A$6:$A$12,$B421)&gt;0,"Inkomst","Uitgave"))</f>
        <v/>
      </c>
      <c r="F421" s="102"/>
      <c r="G421" s="105"/>
      <c r="H421" s="116" t="str">
        <f aca="false">IF($A421="","",YEAR($A421)*100+MONTH($A421))</f>
        <v/>
      </c>
    </row>
    <row r="422" customFormat="false" ht="15" hidden="false" customHeight="false" outlineLevel="0" collapsed="false">
      <c r="A422" s="115"/>
      <c r="B422" s="102"/>
      <c r="C422" s="102"/>
      <c r="D422" s="92"/>
      <c r="E422" s="116" t="str">
        <f aca="false">IF($B422="","",IF(COUNTIF(Lijsten!$A$6:$A$12,$B422)&gt;0,"Inkomst","Uitgave"))</f>
        <v/>
      </c>
      <c r="F422" s="102"/>
      <c r="G422" s="105"/>
      <c r="H422" s="116" t="str">
        <f aca="false">IF($A422="","",YEAR($A422)*100+MONTH($A422))</f>
        <v/>
      </c>
    </row>
    <row r="423" customFormat="false" ht="15" hidden="false" customHeight="false" outlineLevel="0" collapsed="false">
      <c r="A423" s="115"/>
      <c r="B423" s="102"/>
      <c r="C423" s="102"/>
      <c r="D423" s="92"/>
      <c r="E423" s="116" t="str">
        <f aca="false">IF($B423="","",IF(COUNTIF(Lijsten!$A$6:$A$12,$B423)&gt;0,"Inkomst","Uitgave"))</f>
        <v/>
      </c>
      <c r="F423" s="102"/>
      <c r="G423" s="105"/>
      <c r="H423" s="116" t="str">
        <f aca="false">IF($A423="","",YEAR($A423)*100+MONTH($A423))</f>
        <v/>
      </c>
    </row>
    <row r="424" customFormat="false" ht="15" hidden="false" customHeight="false" outlineLevel="0" collapsed="false">
      <c r="A424" s="115"/>
      <c r="B424" s="102"/>
      <c r="C424" s="102"/>
      <c r="D424" s="92"/>
      <c r="E424" s="116" t="str">
        <f aca="false">IF($B424="","",IF(COUNTIF(Lijsten!$A$6:$A$12,$B424)&gt;0,"Inkomst","Uitgave"))</f>
        <v/>
      </c>
      <c r="F424" s="102"/>
      <c r="G424" s="105"/>
      <c r="H424" s="116" t="str">
        <f aca="false">IF($A424="","",YEAR($A424)*100+MONTH($A424))</f>
        <v/>
      </c>
    </row>
    <row r="425" customFormat="false" ht="15" hidden="false" customHeight="false" outlineLevel="0" collapsed="false">
      <c r="A425" s="115"/>
      <c r="B425" s="102"/>
      <c r="C425" s="102"/>
      <c r="D425" s="92"/>
      <c r="E425" s="116" t="str">
        <f aca="false">IF($B425="","",IF(COUNTIF(Lijsten!$A$6:$A$12,$B425)&gt;0,"Inkomst","Uitgave"))</f>
        <v/>
      </c>
      <c r="F425" s="102"/>
      <c r="G425" s="105"/>
      <c r="H425" s="116" t="str">
        <f aca="false">IF($A425="","",YEAR($A425)*100+MONTH($A425))</f>
        <v/>
      </c>
    </row>
    <row r="426" customFormat="false" ht="15" hidden="false" customHeight="false" outlineLevel="0" collapsed="false">
      <c r="A426" s="115"/>
      <c r="B426" s="102"/>
      <c r="C426" s="102"/>
      <c r="D426" s="92"/>
      <c r="E426" s="116" t="str">
        <f aca="false">IF($B426="","",IF(COUNTIF(Lijsten!$A$6:$A$12,$B426)&gt;0,"Inkomst","Uitgave"))</f>
        <v/>
      </c>
      <c r="F426" s="102"/>
      <c r="G426" s="105"/>
      <c r="H426" s="116" t="str">
        <f aca="false">IF($A426="","",YEAR($A426)*100+MONTH($A426))</f>
        <v/>
      </c>
    </row>
    <row r="427" customFormat="false" ht="15" hidden="false" customHeight="false" outlineLevel="0" collapsed="false">
      <c r="A427" s="115"/>
      <c r="B427" s="102"/>
      <c r="C427" s="102"/>
      <c r="D427" s="92"/>
      <c r="E427" s="116" t="str">
        <f aca="false">IF($B427="","",IF(COUNTIF(Lijsten!$A$6:$A$12,$B427)&gt;0,"Inkomst","Uitgave"))</f>
        <v/>
      </c>
      <c r="F427" s="102"/>
      <c r="G427" s="105"/>
      <c r="H427" s="116" t="str">
        <f aca="false">IF($A427="","",YEAR($A427)*100+MONTH($A427))</f>
        <v/>
      </c>
    </row>
    <row r="428" customFormat="false" ht="15" hidden="false" customHeight="false" outlineLevel="0" collapsed="false">
      <c r="A428" s="115"/>
      <c r="B428" s="102"/>
      <c r="C428" s="102"/>
      <c r="D428" s="92"/>
      <c r="E428" s="116" t="str">
        <f aca="false">IF($B428="","",IF(COUNTIF(Lijsten!$A$6:$A$12,$B428)&gt;0,"Inkomst","Uitgave"))</f>
        <v/>
      </c>
      <c r="F428" s="102"/>
      <c r="G428" s="105"/>
      <c r="H428" s="116" t="str">
        <f aca="false">IF($A428="","",YEAR($A428)*100+MONTH($A428))</f>
        <v/>
      </c>
    </row>
    <row r="429" customFormat="false" ht="15" hidden="false" customHeight="false" outlineLevel="0" collapsed="false">
      <c r="A429" s="115"/>
      <c r="B429" s="102"/>
      <c r="C429" s="102"/>
      <c r="D429" s="92"/>
      <c r="E429" s="116" t="str">
        <f aca="false">IF($B429="","",IF(COUNTIF(Lijsten!$A$6:$A$12,$B429)&gt;0,"Inkomst","Uitgave"))</f>
        <v/>
      </c>
      <c r="F429" s="102"/>
      <c r="G429" s="105"/>
      <c r="H429" s="116" t="str">
        <f aca="false">IF($A429="","",YEAR($A429)*100+MONTH($A429))</f>
        <v/>
      </c>
    </row>
    <row r="430" customFormat="false" ht="15" hidden="false" customHeight="false" outlineLevel="0" collapsed="false">
      <c r="A430" s="115"/>
      <c r="B430" s="102"/>
      <c r="C430" s="102"/>
      <c r="D430" s="92"/>
      <c r="E430" s="116" t="str">
        <f aca="false">IF($B430="","",IF(COUNTIF(Lijsten!$A$6:$A$12,$B430)&gt;0,"Inkomst","Uitgave"))</f>
        <v/>
      </c>
      <c r="F430" s="102"/>
      <c r="G430" s="105"/>
      <c r="H430" s="116" t="str">
        <f aca="false">IF($A430="","",YEAR($A430)*100+MONTH($A430))</f>
        <v/>
      </c>
    </row>
    <row r="431" customFormat="false" ht="15" hidden="false" customHeight="false" outlineLevel="0" collapsed="false">
      <c r="A431" s="115"/>
      <c r="B431" s="102"/>
      <c r="C431" s="102"/>
      <c r="D431" s="92"/>
      <c r="E431" s="116" t="str">
        <f aca="false">IF($B431="","",IF(COUNTIF(Lijsten!$A$6:$A$12,$B431)&gt;0,"Inkomst","Uitgave"))</f>
        <v/>
      </c>
      <c r="F431" s="102"/>
      <c r="G431" s="105"/>
      <c r="H431" s="116" t="str">
        <f aca="false">IF($A431="","",YEAR($A431)*100+MONTH($A431))</f>
        <v/>
      </c>
    </row>
    <row r="432" customFormat="false" ht="15" hidden="false" customHeight="false" outlineLevel="0" collapsed="false">
      <c r="A432" s="115"/>
      <c r="B432" s="102"/>
      <c r="C432" s="102"/>
      <c r="D432" s="92"/>
      <c r="E432" s="116" t="str">
        <f aca="false">IF($B432="","",IF(COUNTIF(Lijsten!$A$6:$A$12,$B432)&gt;0,"Inkomst","Uitgave"))</f>
        <v/>
      </c>
      <c r="F432" s="102"/>
      <c r="G432" s="105"/>
      <c r="H432" s="116" t="str">
        <f aca="false">IF($A432="","",YEAR($A432)*100+MONTH($A432))</f>
        <v/>
      </c>
    </row>
    <row r="433" customFormat="false" ht="15" hidden="false" customHeight="false" outlineLevel="0" collapsed="false">
      <c r="A433" s="115"/>
      <c r="B433" s="102"/>
      <c r="C433" s="102"/>
      <c r="D433" s="92"/>
      <c r="E433" s="116" t="str">
        <f aca="false">IF($B433="","",IF(COUNTIF(Lijsten!$A$6:$A$12,$B433)&gt;0,"Inkomst","Uitgave"))</f>
        <v/>
      </c>
      <c r="F433" s="102"/>
      <c r="G433" s="105"/>
      <c r="H433" s="116" t="str">
        <f aca="false">IF($A433="","",YEAR($A433)*100+MONTH($A433))</f>
        <v/>
      </c>
    </row>
    <row r="434" customFormat="false" ht="15" hidden="false" customHeight="false" outlineLevel="0" collapsed="false">
      <c r="A434" s="115"/>
      <c r="B434" s="102"/>
      <c r="C434" s="102"/>
      <c r="D434" s="92"/>
      <c r="E434" s="116" t="str">
        <f aca="false">IF($B434="","",IF(COUNTIF(Lijsten!$A$6:$A$12,$B434)&gt;0,"Inkomst","Uitgave"))</f>
        <v/>
      </c>
      <c r="F434" s="102"/>
      <c r="G434" s="105"/>
      <c r="H434" s="116" t="str">
        <f aca="false">IF($A434="","",YEAR($A434)*100+MONTH($A434))</f>
        <v/>
      </c>
    </row>
    <row r="435" customFormat="false" ht="15" hidden="false" customHeight="false" outlineLevel="0" collapsed="false">
      <c r="A435" s="115"/>
      <c r="B435" s="102"/>
      <c r="C435" s="102"/>
      <c r="D435" s="92"/>
      <c r="E435" s="116" t="str">
        <f aca="false">IF($B435="","",IF(COUNTIF(Lijsten!$A$6:$A$12,$B435)&gt;0,"Inkomst","Uitgave"))</f>
        <v/>
      </c>
      <c r="F435" s="102"/>
      <c r="G435" s="105"/>
      <c r="H435" s="116" t="str">
        <f aca="false">IF($A435="","",YEAR($A435)*100+MONTH($A435))</f>
        <v/>
      </c>
    </row>
    <row r="436" customFormat="false" ht="15" hidden="false" customHeight="false" outlineLevel="0" collapsed="false">
      <c r="A436" s="115"/>
      <c r="B436" s="102"/>
      <c r="C436" s="102"/>
      <c r="D436" s="92"/>
      <c r="E436" s="116" t="str">
        <f aca="false">IF($B436="","",IF(COUNTIF(Lijsten!$A$6:$A$12,$B436)&gt;0,"Inkomst","Uitgave"))</f>
        <v/>
      </c>
      <c r="F436" s="102"/>
      <c r="G436" s="105"/>
      <c r="H436" s="116" t="str">
        <f aca="false">IF($A436="","",YEAR($A436)*100+MONTH($A436))</f>
        <v/>
      </c>
    </row>
    <row r="437" customFormat="false" ht="15" hidden="false" customHeight="false" outlineLevel="0" collapsed="false">
      <c r="A437" s="115"/>
      <c r="B437" s="102"/>
      <c r="C437" s="102"/>
      <c r="D437" s="92"/>
      <c r="E437" s="116" t="str">
        <f aca="false">IF($B437="","",IF(COUNTIF(Lijsten!$A$6:$A$12,$B437)&gt;0,"Inkomst","Uitgave"))</f>
        <v/>
      </c>
      <c r="F437" s="102"/>
      <c r="G437" s="105"/>
      <c r="H437" s="116" t="str">
        <f aca="false">IF($A437="","",YEAR($A437)*100+MONTH($A437))</f>
        <v/>
      </c>
    </row>
    <row r="438" customFormat="false" ht="15" hidden="false" customHeight="false" outlineLevel="0" collapsed="false">
      <c r="A438" s="115"/>
      <c r="B438" s="102"/>
      <c r="C438" s="102"/>
      <c r="D438" s="92"/>
      <c r="E438" s="116" t="str">
        <f aca="false">IF($B438="","",IF(COUNTIF(Lijsten!$A$6:$A$12,$B438)&gt;0,"Inkomst","Uitgave"))</f>
        <v/>
      </c>
      <c r="F438" s="102"/>
      <c r="G438" s="105"/>
      <c r="H438" s="116" t="str">
        <f aca="false">IF($A438="","",YEAR($A438)*100+MONTH($A438))</f>
        <v/>
      </c>
    </row>
    <row r="439" customFormat="false" ht="15" hidden="false" customHeight="false" outlineLevel="0" collapsed="false">
      <c r="A439" s="115"/>
      <c r="B439" s="102"/>
      <c r="C439" s="102"/>
      <c r="D439" s="92"/>
      <c r="E439" s="116" t="str">
        <f aca="false">IF($B439="","",IF(COUNTIF(Lijsten!$A$6:$A$12,$B439)&gt;0,"Inkomst","Uitgave"))</f>
        <v/>
      </c>
      <c r="F439" s="102"/>
      <c r="G439" s="105"/>
      <c r="H439" s="116" t="str">
        <f aca="false">IF($A439="","",YEAR($A439)*100+MONTH($A439))</f>
        <v/>
      </c>
    </row>
    <row r="440" customFormat="false" ht="15" hidden="false" customHeight="false" outlineLevel="0" collapsed="false">
      <c r="A440" s="115"/>
      <c r="B440" s="102"/>
      <c r="C440" s="102"/>
      <c r="D440" s="92"/>
      <c r="E440" s="116" t="str">
        <f aca="false">IF($B440="","",IF(COUNTIF(Lijsten!$A$6:$A$12,$B440)&gt;0,"Inkomst","Uitgave"))</f>
        <v/>
      </c>
      <c r="F440" s="102"/>
      <c r="G440" s="105"/>
      <c r="H440" s="116" t="str">
        <f aca="false">IF($A440="","",YEAR($A440)*100+MONTH($A440))</f>
        <v/>
      </c>
    </row>
    <row r="441" customFormat="false" ht="15" hidden="false" customHeight="false" outlineLevel="0" collapsed="false">
      <c r="A441" s="115"/>
      <c r="B441" s="102"/>
      <c r="C441" s="102"/>
      <c r="D441" s="92"/>
      <c r="E441" s="116" t="str">
        <f aca="false">IF($B441="","",IF(COUNTIF(Lijsten!$A$6:$A$12,$B441)&gt;0,"Inkomst","Uitgave"))</f>
        <v/>
      </c>
      <c r="F441" s="102"/>
      <c r="G441" s="105"/>
      <c r="H441" s="116" t="str">
        <f aca="false">IF($A441="","",YEAR($A441)*100+MONTH($A441))</f>
        <v/>
      </c>
    </row>
    <row r="442" customFormat="false" ht="15" hidden="false" customHeight="false" outlineLevel="0" collapsed="false">
      <c r="A442" s="115"/>
      <c r="B442" s="102"/>
      <c r="C442" s="102"/>
      <c r="D442" s="92"/>
      <c r="E442" s="116" t="str">
        <f aca="false">IF($B442="","",IF(COUNTIF(Lijsten!$A$6:$A$12,$B442)&gt;0,"Inkomst","Uitgave"))</f>
        <v/>
      </c>
      <c r="F442" s="102"/>
      <c r="G442" s="105"/>
      <c r="H442" s="116" t="str">
        <f aca="false">IF($A442="","",YEAR($A442)*100+MONTH($A442))</f>
        <v/>
      </c>
    </row>
    <row r="443" customFormat="false" ht="15" hidden="false" customHeight="false" outlineLevel="0" collapsed="false">
      <c r="A443" s="115"/>
      <c r="B443" s="102"/>
      <c r="C443" s="102"/>
      <c r="D443" s="92"/>
      <c r="E443" s="116" t="str">
        <f aca="false">IF($B443="","",IF(COUNTIF(Lijsten!$A$6:$A$12,$B443)&gt;0,"Inkomst","Uitgave"))</f>
        <v/>
      </c>
      <c r="F443" s="102"/>
      <c r="G443" s="105"/>
      <c r="H443" s="116" t="str">
        <f aca="false">IF($A443="","",YEAR($A443)*100+MONTH($A443))</f>
        <v/>
      </c>
    </row>
    <row r="444" customFormat="false" ht="15" hidden="false" customHeight="false" outlineLevel="0" collapsed="false">
      <c r="A444" s="115"/>
      <c r="B444" s="102"/>
      <c r="C444" s="102"/>
      <c r="D444" s="92"/>
      <c r="E444" s="116" t="str">
        <f aca="false">IF($B444="","",IF(COUNTIF(Lijsten!$A$6:$A$12,$B444)&gt;0,"Inkomst","Uitgave"))</f>
        <v/>
      </c>
      <c r="F444" s="102"/>
      <c r="G444" s="105"/>
      <c r="H444" s="116" t="str">
        <f aca="false">IF($A444="","",YEAR($A444)*100+MONTH($A444))</f>
        <v/>
      </c>
    </row>
    <row r="445" customFormat="false" ht="15" hidden="false" customHeight="false" outlineLevel="0" collapsed="false">
      <c r="A445" s="115"/>
      <c r="B445" s="102"/>
      <c r="C445" s="102"/>
      <c r="D445" s="92"/>
      <c r="E445" s="116" t="str">
        <f aca="false">IF($B445="","",IF(COUNTIF(Lijsten!$A$6:$A$12,$B445)&gt;0,"Inkomst","Uitgave"))</f>
        <v/>
      </c>
      <c r="F445" s="102"/>
      <c r="G445" s="105"/>
      <c r="H445" s="116" t="str">
        <f aca="false">IF($A445="","",YEAR($A445)*100+MONTH($A445))</f>
        <v/>
      </c>
    </row>
    <row r="446" customFormat="false" ht="15" hidden="false" customHeight="false" outlineLevel="0" collapsed="false">
      <c r="A446" s="115"/>
      <c r="B446" s="102"/>
      <c r="C446" s="102"/>
      <c r="D446" s="92"/>
      <c r="E446" s="116" t="str">
        <f aca="false">IF($B446="","",IF(COUNTIF(Lijsten!$A$6:$A$12,$B446)&gt;0,"Inkomst","Uitgave"))</f>
        <v/>
      </c>
      <c r="F446" s="102"/>
      <c r="G446" s="105"/>
      <c r="H446" s="116" t="str">
        <f aca="false">IF($A446="","",YEAR($A446)*100+MONTH($A446))</f>
        <v/>
      </c>
    </row>
    <row r="447" customFormat="false" ht="15" hidden="false" customHeight="false" outlineLevel="0" collapsed="false">
      <c r="A447" s="115"/>
      <c r="B447" s="102"/>
      <c r="C447" s="102"/>
      <c r="D447" s="92"/>
      <c r="E447" s="116" t="str">
        <f aca="false">IF($B447="","",IF(COUNTIF(Lijsten!$A$6:$A$12,$B447)&gt;0,"Inkomst","Uitgave"))</f>
        <v/>
      </c>
      <c r="F447" s="102"/>
      <c r="G447" s="105"/>
      <c r="H447" s="116" t="str">
        <f aca="false">IF($A447="","",YEAR($A447)*100+MONTH($A447))</f>
        <v/>
      </c>
    </row>
    <row r="448" customFormat="false" ht="15" hidden="false" customHeight="false" outlineLevel="0" collapsed="false">
      <c r="A448" s="115"/>
      <c r="B448" s="102"/>
      <c r="C448" s="102"/>
      <c r="D448" s="92"/>
      <c r="E448" s="116" t="str">
        <f aca="false">IF($B448="","",IF(COUNTIF(Lijsten!$A$6:$A$12,$B448)&gt;0,"Inkomst","Uitgave"))</f>
        <v/>
      </c>
      <c r="F448" s="102"/>
      <c r="G448" s="105"/>
      <c r="H448" s="116" t="str">
        <f aca="false">IF($A448="","",YEAR($A448)*100+MONTH($A448))</f>
        <v/>
      </c>
    </row>
    <row r="449" customFormat="false" ht="15" hidden="false" customHeight="false" outlineLevel="0" collapsed="false">
      <c r="A449" s="115"/>
      <c r="B449" s="102"/>
      <c r="C449" s="102"/>
      <c r="D449" s="92"/>
      <c r="E449" s="116" t="str">
        <f aca="false">IF($B449="","",IF(COUNTIF(Lijsten!$A$6:$A$12,$B449)&gt;0,"Inkomst","Uitgave"))</f>
        <v/>
      </c>
      <c r="F449" s="102"/>
      <c r="G449" s="105"/>
      <c r="H449" s="116" t="str">
        <f aca="false">IF($A449="","",YEAR($A449)*100+MONTH($A449))</f>
        <v/>
      </c>
    </row>
    <row r="450" customFormat="false" ht="15" hidden="false" customHeight="false" outlineLevel="0" collapsed="false">
      <c r="A450" s="115"/>
      <c r="B450" s="102"/>
      <c r="C450" s="102"/>
      <c r="D450" s="92"/>
      <c r="E450" s="116" t="str">
        <f aca="false">IF($B450="","",IF(COUNTIF(Lijsten!$A$6:$A$12,$B450)&gt;0,"Inkomst","Uitgave"))</f>
        <v/>
      </c>
      <c r="F450" s="102"/>
      <c r="G450" s="105"/>
      <c r="H450" s="116" t="str">
        <f aca="false">IF($A450="","",YEAR($A450)*100+MONTH($A450))</f>
        <v/>
      </c>
    </row>
    <row r="451" customFormat="false" ht="15" hidden="false" customHeight="false" outlineLevel="0" collapsed="false">
      <c r="A451" s="115"/>
      <c r="B451" s="102"/>
      <c r="C451" s="102"/>
      <c r="D451" s="92"/>
      <c r="E451" s="116" t="str">
        <f aca="false">IF($B451="","",IF(COUNTIF(Lijsten!$A$6:$A$12,$B451)&gt;0,"Inkomst","Uitgave"))</f>
        <v/>
      </c>
      <c r="F451" s="102"/>
      <c r="G451" s="105"/>
      <c r="H451" s="116" t="str">
        <f aca="false">IF($A451="","",YEAR($A451)*100+MONTH($A451))</f>
        <v/>
      </c>
    </row>
    <row r="452" customFormat="false" ht="15" hidden="false" customHeight="false" outlineLevel="0" collapsed="false">
      <c r="A452" s="115"/>
      <c r="B452" s="102"/>
      <c r="C452" s="102"/>
      <c r="D452" s="92"/>
      <c r="E452" s="116" t="str">
        <f aca="false">IF($B452="","",IF(COUNTIF(Lijsten!$A$6:$A$12,$B452)&gt;0,"Inkomst","Uitgave"))</f>
        <v/>
      </c>
      <c r="F452" s="102"/>
      <c r="G452" s="105"/>
      <c r="H452" s="116" t="str">
        <f aca="false">IF($A452="","",YEAR($A452)*100+MONTH($A452))</f>
        <v/>
      </c>
    </row>
    <row r="453" customFormat="false" ht="15" hidden="false" customHeight="false" outlineLevel="0" collapsed="false">
      <c r="A453" s="115"/>
      <c r="B453" s="102"/>
      <c r="C453" s="102"/>
      <c r="D453" s="92"/>
      <c r="E453" s="116" t="str">
        <f aca="false">IF($B453="","",IF(COUNTIF(Lijsten!$A$6:$A$12,$B453)&gt;0,"Inkomst","Uitgave"))</f>
        <v/>
      </c>
      <c r="F453" s="102"/>
      <c r="G453" s="105"/>
      <c r="H453" s="116" t="str">
        <f aca="false">IF($A453="","",YEAR($A453)*100+MONTH($A453))</f>
        <v/>
      </c>
    </row>
    <row r="454" customFormat="false" ht="15" hidden="false" customHeight="false" outlineLevel="0" collapsed="false">
      <c r="A454" s="115"/>
      <c r="B454" s="102"/>
      <c r="C454" s="102"/>
      <c r="D454" s="92"/>
      <c r="E454" s="116" t="str">
        <f aca="false">IF($B454="","",IF(COUNTIF(Lijsten!$A$6:$A$12,$B454)&gt;0,"Inkomst","Uitgave"))</f>
        <v/>
      </c>
      <c r="F454" s="102"/>
      <c r="G454" s="105"/>
      <c r="H454" s="116" t="str">
        <f aca="false">IF($A454="","",YEAR($A454)*100+MONTH($A454))</f>
        <v/>
      </c>
    </row>
    <row r="455" customFormat="false" ht="15" hidden="false" customHeight="false" outlineLevel="0" collapsed="false">
      <c r="A455" s="115"/>
      <c r="B455" s="102"/>
      <c r="C455" s="102"/>
      <c r="D455" s="92"/>
      <c r="E455" s="116" t="str">
        <f aca="false">IF($B455="","",IF(COUNTIF(Lijsten!$A$6:$A$12,$B455)&gt;0,"Inkomst","Uitgave"))</f>
        <v/>
      </c>
      <c r="F455" s="102"/>
      <c r="G455" s="105"/>
      <c r="H455" s="116" t="str">
        <f aca="false">IF($A455="","",YEAR($A455)*100+MONTH($A455))</f>
        <v/>
      </c>
    </row>
    <row r="456" customFormat="false" ht="15" hidden="false" customHeight="false" outlineLevel="0" collapsed="false">
      <c r="A456" s="115"/>
      <c r="B456" s="102"/>
      <c r="C456" s="102"/>
      <c r="D456" s="92"/>
      <c r="E456" s="116" t="str">
        <f aca="false">IF($B456="","",IF(COUNTIF(Lijsten!$A$6:$A$12,$B456)&gt;0,"Inkomst","Uitgave"))</f>
        <v/>
      </c>
      <c r="F456" s="102"/>
      <c r="G456" s="105"/>
      <c r="H456" s="116" t="str">
        <f aca="false">IF($A456="","",YEAR($A456)*100+MONTH($A456))</f>
        <v/>
      </c>
    </row>
    <row r="457" customFormat="false" ht="15" hidden="false" customHeight="false" outlineLevel="0" collapsed="false">
      <c r="A457" s="115"/>
      <c r="B457" s="102"/>
      <c r="C457" s="102"/>
      <c r="D457" s="92"/>
      <c r="E457" s="116" t="str">
        <f aca="false">IF($B457="","",IF(COUNTIF(Lijsten!$A$6:$A$12,$B457)&gt;0,"Inkomst","Uitgave"))</f>
        <v/>
      </c>
      <c r="F457" s="102"/>
      <c r="G457" s="105"/>
      <c r="H457" s="116" t="str">
        <f aca="false">IF($A457="","",YEAR($A457)*100+MONTH($A457))</f>
        <v/>
      </c>
    </row>
    <row r="458" customFormat="false" ht="15" hidden="false" customHeight="false" outlineLevel="0" collapsed="false">
      <c r="A458" s="115"/>
      <c r="B458" s="102"/>
      <c r="C458" s="102"/>
      <c r="D458" s="92"/>
      <c r="E458" s="116" t="str">
        <f aca="false">IF($B458="","",IF(COUNTIF(Lijsten!$A$6:$A$12,$B458)&gt;0,"Inkomst","Uitgave"))</f>
        <v/>
      </c>
      <c r="F458" s="102"/>
      <c r="G458" s="105"/>
      <c r="H458" s="116" t="str">
        <f aca="false">IF($A458="","",YEAR($A458)*100+MONTH($A458))</f>
        <v/>
      </c>
    </row>
    <row r="459" customFormat="false" ht="15" hidden="false" customHeight="false" outlineLevel="0" collapsed="false">
      <c r="A459" s="115"/>
      <c r="B459" s="102"/>
      <c r="C459" s="102"/>
      <c r="D459" s="92"/>
      <c r="E459" s="116" t="str">
        <f aca="false">IF($B459="","",IF(COUNTIF(Lijsten!$A$6:$A$12,$B459)&gt;0,"Inkomst","Uitgave"))</f>
        <v/>
      </c>
      <c r="F459" s="102"/>
      <c r="G459" s="105"/>
      <c r="H459" s="116" t="str">
        <f aca="false">IF($A459="","",YEAR($A459)*100+MONTH($A459))</f>
        <v/>
      </c>
    </row>
    <row r="460" customFormat="false" ht="15" hidden="false" customHeight="false" outlineLevel="0" collapsed="false">
      <c r="A460" s="115"/>
      <c r="B460" s="102"/>
      <c r="C460" s="102"/>
      <c r="D460" s="92"/>
      <c r="E460" s="116" t="str">
        <f aca="false">IF($B460="","",IF(COUNTIF(Lijsten!$A$6:$A$12,$B460)&gt;0,"Inkomst","Uitgave"))</f>
        <v/>
      </c>
      <c r="F460" s="102"/>
      <c r="G460" s="105"/>
      <c r="H460" s="116" t="str">
        <f aca="false">IF($A460="","",YEAR($A460)*100+MONTH($A460))</f>
        <v/>
      </c>
    </row>
    <row r="461" customFormat="false" ht="15" hidden="false" customHeight="false" outlineLevel="0" collapsed="false">
      <c r="A461" s="115"/>
      <c r="B461" s="102"/>
      <c r="C461" s="102"/>
      <c r="D461" s="92"/>
      <c r="E461" s="116" t="str">
        <f aca="false">IF($B461="","",IF(COUNTIF(Lijsten!$A$6:$A$12,$B461)&gt;0,"Inkomst","Uitgave"))</f>
        <v/>
      </c>
      <c r="F461" s="102"/>
      <c r="G461" s="105"/>
      <c r="H461" s="116" t="str">
        <f aca="false">IF($A461="","",YEAR($A461)*100+MONTH($A461))</f>
        <v/>
      </c>
    </row>
    <row r="462" customFormat="false" ht="15" hidden="false" customHeight="false" outlineLevel="0" collapsed="false">
      <c r="A462" s="115"/>
      <c r="B462" s="102"/>
      <c r="C462" s="102"/>
      <c r="D462" s="92"/>
      <c r="E462" s="116" t="str">
        <f aca="false">IF($B462="","",IF(COUNTIF(Lijsten!$A$6:$A$12,$B462)&gt;0,"Inkomst","Uitgave"))</f>
        <v/>
      </c>
      <c r="F462" s="102"/>
      <c r="G462" s="105"/>
      <c r="H462" s="116" t="str">
        <f aca="false">IF($A462="","",YEAR($A462)*100+MONTH($A462))</f>
        <v/>
      </c>
    </row>
    <row r="463" customFormat="false" ht="15" hidden="false" customHeight="false" outlineLevel="0" collapsed="false">
      <c r="A463" s="115"/>
      <c r="B463" s="102"/>
      <c r="C463" s="102"/>
      <c r="D463" s="92"/>
      <c r="E463" s="116" t="str">
        <f aca="false">IF($B463="","",IF(COUNTIF(Lijsten!$A$6:$A$12,$B463)&gt;0,"Inkomst","Uitgave"))</f>
        <v/>
      </c>
      <c r="F463" s="102"/>
      <c r="G463" s="105"/>
      <c r="H463" s="116" t="str">
        <f aca="false">IF($A463="","",YEAR($A463)*100+MONTH($A463))</f>
        <v/>
      </c>
    </row>
    <row r="464" customFormat="false" ht="15" hidden="false" customHeight="false" outlineLevel="0" collapsed="false">
      <c r="A464" s="115"/>
      <c r="B464" s="102"/>
      <c r="C464" s="102"/>
      <c r="D464" s="92"/>
      <c r="E464" s="116" t="str">
        <f aca="false">IF($B464="","",IF(COUNTIF(Lijsten!$A$6:$A$12,$B464)&gt;0,"Inkomst","Uitgave"))</f>
        <v/>
      </c>
      <c r="F464" s="102"/>
      <c r="G464" s="105"/>
      <c r="H464" s="116" t="str">
        <f aca="false">IF($A464="","",YEAR($A464)*100+MONTH($A464))</f>
        <v/>
      </c>
    </row>
    <row r="465" customFormat="false" ht="15" hidden="false" customHeight="false" outlineLevel="0" collapsed="false">
      <c r="A465" s="115"/>
      <c r="B465" s="102"/>
      <c r="C465" s="102"/>
      <c r="D465" s="92"/>
      <c r="E465" s="116" t="str">
        <f aca="false">IF($B465="","",IF(COUNTIF(Lijsten!$A$6:$A$12,$B465)&gt;0,"Inkomst","Uitgave"))</f>
        <v/>
      </c>
      <c r="F465" s="102"/>
      <c r="G465" s="105"/>
      <c r="H465" s="116" t="str">
        <f aca="false">IF($A465="","",YEAR($A465)*100+MONTH($A465))</f>
        <v/>
      </c>
    </row>
    <row r="466" customFormat="false" ht="15" hidden="false" customHeight="false" outlineLevel="0" collapsed="false">
      <c r="A466" s="115"/>
      <c r="B466" s="102"/>
      <c r="C466" s="102"/>
      <c r="D466" s="92"/>
      <c r="E466" s="116" t="str">
        <f aca="false">IF($B466="","",IF(COUNTIF(Lijsten!$A$6:$A$12,$B466)&gt;0,"Inkomst","Uitgave"))</f>
        <v/>
      </c>
      <c r="F466" s="102"/>
      <c r="G466" s="105"/>
      <c r="H466" s="116" t="str">
        <f aca="false">IF($A466="","",YEAR($A466)*100+MONTH($A466))</f>
        <v/>
      </c>
    </row>
    <row r="467" customFormat="false" ht="15" hidden="false" customHeight="false" outlineLevel="0" collapsed="false">
      <c r="A467" s="115"/>
      <c r="B467" s="102"/>
      <c r="C467" s="102"/>
      <c r="D467" s="92"/>
      <c r="E467" s="116" t="str">
        <f aca="false">IF($B467="","",IF(COUNTIF(Lijsten!$A$6:$A$12,$B467)&gt;0,"Inkomst","Uitgave"))</f>
        <v/>
      </c>
      <c r="F467" s="102"/>
      <c r="G467" s="105"/>
      <c r="H467" s="116" t="str">
        <f aca="false">IF($A467="","",YEAR($A467)*100+MONTH($A467))</f>
        <v/>
      </c>
    </row>
    <row r="468" customFormat="false" ht="15" hidden="false" customHeight="false" outlineLevel="0" collapsed="false">
      <c r="A468" s="115"/>
      <c r="B468" s="102"/>
      <c r="C468" s="102"/>
      <c r="D468" s="92"/>
      <c r="E468" s="116" t="str">
        <f aca="false">IF($B468="","",IF(COUNTIF(Lijsten!$A$6:$A$12,$B468)&gt;0,"Inkomst","Uitgave"))</f>
        <v/>
      </c>
      <c r="F468" s="102"/>
      <c r="G468" s="105"/>
      <c r="H468" s="116" t="str">
        <f aca="false">IF($A468="","",YEAR($A468)*100+MONTH($A468))</f>
        <v/>
      </c>
    </row>
    <row r="469" customFormat="false" ht="15" hidden="false" customHeight="false" outlineLevel="0" collapsed="false">
      <c r="A469" s="115"/>
      <c r="B469" s="102"/>
      <c r="C469" s="102"/>
      <c r="D469" s="92"/>
      <c r="E469" s="116" t="str">
        <f aca="false">IF($B469="","",IF(COUNTIF(Lijsten!$A$6:$A$12,$B469)&gt;0,"Inkomst","Uitgave"))</f>
        <v/>
      </c>
      <c r="F469" s="102"/>
      <c r="G469" s="105"/>
      <c r="H469" s="116" t="str">
        <f aca="false">IF($A469="","",YEAR($A469)*100+MONTH($A469))</f>
        <v/>
      </c>
    </row>
    <row r="470" customFormat="false" ht="15" hidden="false" customHeight="false" outlineLevel="0" collapsed="false">
      <c r="A470" s="115"/>
      <c r="B470" s="102"/>
      <c r="C470" s="102"/>
      <c r="D470" s="92"/>
      <c r="E470" s="116" t="str">
        <f aca="false">IF($B470="","",IF(COUNTIF(Lijsten!$A$6:$A$12,$B470)&gt;0,"Inkomst","Uitgave"))</f>
        <v/>
      </c>
      <c r="F470" s="102"/>
      <c r="G470" s="105"/>
      <c r="H470" s="116" t="str">
        <f aca="false">IF($A470="","",YEAR($A470)*100+MONTH($A470))</f>
        <v/>
      </c>
    </row>
    <row r="471" customFormat="false" ht="15" hidden="false" customHeight="false" outlineLevel="0" collapsed="false">
      <c r="A471" s="115"/>
      <c r="B471" s="102"/>
      <c r="C471" s="102"/>
      <c r="D471" s="92"/>
      <c r="E471" s="116" t="str">
        <f aca="false">IF($B471="","",IF(COUNTIF(Lijsten!$A$6:$A$12,$B471)&gt;0,"Inkomst","Uitgave"))</f>
        <v/>
      </c>
      <c r="F471" s="102"/>
      <c r="G471" s="105"/>
      <c r="H471" s="116" t="str">
        <f aca="false">IF($A471="","",YEAR($A471)*100+MONTH($A471))</f>
        <v/>
      </c>
    </row>
    <row r="472" customFormat="false" ht="15" hidden="false" customHeight="false" outlineLevel="0" collapsed="false">
      <c r="A472" s="115"/>
      <c r="B472" s="102"/>
      <c r="C472" s="102"/>
      <c r="D472" s="92"/>
      <c r="E472" s="116" t="str">
        <f aca="false">IF($B472="","",IF(COUNTIF(Lijsten!$A$6:$A$12,$B472)&gt;0,"Inkomst","Uitgave"))</f>
        <v/>
      </c>
      <c r="F472" s="102"/>
      <c r="G472" s="105"/>
      <c r="H472" s="116" t="str">
        <f aca="false">IF($A472="","",YEAR($A472)*100+MONTH($A472))</f>
        <v/>
      </c>
    </row>
    <row r="473" customFormat="false" ht="15" hidden="false" customHeight="false" outlineLevel="0" collapsed="false">
      <c r="A473" s="115"/>
      <c r="B473" s="102"/>
      <c r="C473" s="102"/>
      <c r="D473" s="92"/>
      <c r="E473" s="116" t="str">
        <f aca="false">IF($B473="","",IF(COUNTIF(Lijsten!$A$6:$A$12,$B473)&gt;0,"Inkomst","Uitgave"))</f>
        <v/>
      </c>
      <c r="F473" s="102"/>
      <c r="G473" s="105"/>
      <c r="H473" s="116" t="str">
        <f aca="false">IF($A473="","",YEAR($A473)*100+MONTH($A473))</f>
        <v/>
      </c>
    </row>
    <row r="474" customFormat="false" ht="15" hidden="false" customHeight="false" outlineLevel="0" collapsed="false">
      <c r="A474" s="115"/>
      <c r="B474" s="102"/>
      <c r="C474" s="102"/>
      <c r="D474" s="92"/>
      <c r="E474" s="116" t="str">
        <f aca="false">IF($B474="","",IF(COUNTIF(Lijsten!$A$6:$A$12,$B474)&gt;0,"Inkomst","Uitgave"))</f>
        <v/>
      </c>
      <c r="F474" s="102"/>
      <c r="G474" s="105"/>
      <c r="H474" s="116" t="str">
        <f aca="false">IF($A474="","",YEAR($A474)*100+MONTH($A474))</f>
        <v/>
      </c>
    </row>
    <row r="475" customFormat="false" ht="15" hidden="false" customHeight="false" outlineLevel="0" collapsed="false">
      <c r="A475" s="115"/>
      <c r="B475" s="102"/>
      <c r="C475" s="102"/>
      <c r="D475" s="92"/>
      <c r="E475" s="116" t="str">
        <f aca="false">IF($B475="","",IF(COUNTIF(Lijsten!$A$6:$A$12,$B475)&gt;0,"Inkomst","Uitgave"))</f>
        <v/>
      </c>
      <c r="F475" s="102"/>
      <c r="G475" s="105"/>
      <c r="H475" s="116" t="str">
        <f aca="false">IF($A475="","",YEAR($A475)*100+MONTH($A475))</f>
        <v/>
      </c>
    </row>
    <row r="476" customFormat="false" ht="15" hidden="false" customHeight="false" outlineLevel="0" collapsed="false">
      <c r="A476" s="115"/>
      <c r="B476" s="102"/>
      <c r="C476" s="102"/>
      <c r="D476" s="92"/>
      <c r="E476" s="116" t="str">
        <f aca="false">IF($B476="","",IF(COUNTIF(Lijsten!$A$6:$A$12,$B476)&gt;0,"Inkomst","Uitgave"))</f>
        <v/>
      </c>
      <c r="F476" s="102"/>
      <c r="G476" s="105"/>
      <c r="H476" s="116" t="str">
        <f aca="false">IF($A476="","",YEAR($A476)*100+MONTH($A476))</f>
        <v/>
      </c>
    </row>
    <row r="477" customFormat="false" ht="15" hidden="false" customHeight="false" outlineLevel="0" collapsed="false">
      <c r="A477" s="115"/>
      <c r="B477" s="102"/>
      <c r="C477" s="102"/>
      <c r="D477" s="92"/>
      <c r="E477" s="116" t="str">
        <f aca="false">IF($B477="","",IF(COUNTIF(Lijsten!$A$6:$A$12,$B477)&gt;0,"Inkomst","Uitgave"))</f>
        <v/>
      </c>
      <c r="F477" s="102"/>
      <c r="G477" s="105"/>
      <c r="H477" s="116" t="str">
        <f aca="false">IF($A477="","",YEAR($A477)*100+MONTH($A477))</f>
        <v/>
      </c>
    </row>
    <row r="478" customFormat="false" ht="15" hidden="false" customHeight="false" outlineLevel="0" collapsed="false">
      <c r="A478" s="115"/>
      <c r="B478" s="102"/>
      <c r="C478" s="102"/>
      <c r="D478" s="92"/>
      <c r="E478" s="116" t="str">
        <f aca="false">IF($B478="","",IF(COUNTIF(Lijsten!$A$6:$A$12,$B478)&gt;0,"Inkomst","Uitgave"))</f>
        <v/>
      </c>
      <c r="F478" s="102"/>
      <c r="G478" s="105"/>
      <c r="H478" s="116" t="str">
        <f aca="false">IF($A478="","",YEAR($A478)*100+MONTH($A478))</f>
        <v/>
      </c>
    </row>
    <row r="479" customFormat="false" ht="15" hidden="false" customHeight="false" outlineLevel="0" collapsed="false">
      <c r="A479" s="115"/>
      <c r="B479" s="102"/>
      <c r="C479" s="102"/>
      <c r="D479" s="92"/>
      <c r="E479" s="116" t="str">
        <f aca="false">IF($B479="","",IF(COUNTIF(Lijsten!$A$6:$A$12,$B479)&gt;0,"Inkomst","Uitgave"))</f>
        <v/>
      </c>
      <c r="F479" s="102"/>
      <c r="G479" s="105"/>
      <c r="H479" s="116" t="str">
        <f aca="false">IF($A479="","",YEAR($A479)*100+MONTH($A479))</f>
        <v/>
      </c>
    </row>
    <row r="480" customFormat="false" ht="15" hidden="false" customHeight="false" outlineLevel="0" collapsed="false">
      <c r="A480" s="115"/>
      <c r="B480" s="102"/>
      <c r="C480" s="102"/>
      <c r="D480" s="92"/>
      <c r="E480" s="116" t="str">
        <f aca="false">IF($B480="","",IF(COUNTIF(Lijsten!$A$6:$A$12,$B480)&gt;0,"Inkomst","Uitgave"))</f>
        <v/>
      </c>
      <c r="F480" s="102"/>
      <c r="G480" s="105"/>
      <c r="H480" s="116" t="str">
        <f aca="false">IF($A480="","",YEAR($A480)*100+MONTH($A480))</f>
        <v/>
      </c>
    </row>
    <row r="481" customFormat="false" ht="15" hidden="false" customHeight="false" outlineLevel="0" collapsed="false">
      <c r="A481" s="115"/>
      <c r="B481" s="102"/>
      <c r="C481" s="102"/>
      <c r="D481" s="92"/>
      <c r="E481" s="116" t="str">
        <f aca="false">IF($B481="","",IF(COUNTIF(Lijsten!$A$6:$A$12,$B481)&gt;0,"Inkomst","Uitgave"))</f>
        <v/>
      </c>
      <c r="F481" s="102"/>
      <c r="G481" s="105"/>
      <c r="H481" s="116" t="str">
        <f aca="false">IF($A481="","",YEAR($A481)*100+MONTH($A481))</f>
        <v/>
      </c>
    </row>
    <row r="482" customFormat="false" ht="15" hidden="false" customHeight="false" outlineLevel="0" collapsed="false">
      <c r="A482" s="115"/>
      <c r="B482" s="102"/>
      <c r="C482" s="102"/>
      <c r="D482" s="92"/>
      <c r="E482" s="116" t="str">
        <f aca="false">IF($B482="","",IF(COUNTIF(Lijsten!$A$6:$A$12,$B482)&gt;0,"Inkomst","Uitgave"))</f>
        <v/>
      </c>
      <c r="F482" s="102"/>
      <c r="G482" s="105"/>
      <c r="H482" s="116" t="str">
        <f aca="false">IF($A482="","",YEAR($A482)*100+MONTH($A482))</f>
        <v/>
      </c>
    </row>
    <row r="483" customFormat="false" ht="15" hidden="false" customHeight="false" outlineLevel="0" collapsed="false">
      <c r="A483" s="115"/>
      <c r="B483" s="102"/>
      <c r="C483" s="102"/>
      <c r="D483" s="92"/>
      <c r="E483" s="116" t="str">
        <f aca="false">IF($B483="","",IF(COUNTIF(Lijsten!$A$6:$A$12,$B483)&gt;0,"Inkomst","Uitgave"))</f>
        <v/>
      </c>
      <c r="F483" s="102"/>
      <c r="G483" s="105"/>
      <c r="H483" s="116" t="str">
        <f aca="false">IF($A483="","",YEAR($A483)*100+MONTH($A483))</f>
        <v/>
      </c>
    </row>
    <row r="484" customFormat="false" ht="15" hidden="false" customHeight="false" outlineLevel="0" collapsed="false">
      <c r="A484" s="115"/>
      <c r="B484" s="102"/>
      <c r="C484" s="102"/>
      <c r="D484" s="92"/>
      <c r="E484" s="116" t="str">
        <f aca="false">IF($B484="","",IF(COUNTIF(Lijsten!$A$6:$A$12,$B484)&gt;0,"Inkomst","Uitgave"))</f>
        <v/>
      </c>
      <c r="F484" s="102"/>
      <c r="G484" s="105"/>
      <c r="H484" s="116" t="str">
        <f aca="false">IF($A484="","",YEAR($A484)*100+MONTH($A484))</f>
        <v/>
      </c>
    </row>
    <row r="485" customFormat="false" ht="15" hidden="false" customHeight="false" outlineLevel="0" collapsed="false">
      <c r="A485" s="115"/>
      <c r="B485" s="102"/>
      <c r="C485" s="102"/>
      <c r="D485" s="92"/>
      <c r="E485" s="116" t="str">
        <f aca="false">IF($B485="","",IF(COUNTIF(Lijsten!$A$6:$A$12,$B485)&gt;0,"Inkomst","Uitgave"))</f>
        <v/>
      </c>
      <c r="F485" s="102"/>
      <c r="G485" s="105"/>
      <c r="H485" s="116" t="str">
        <f aca="false">IF($A485="","",YEAR($A485)*100+MONTH($A485))</f>
        <v/>
      </c>
    </row>
    <row r="486" customFormat="false" ht="15" hidden="false" customHeight="false" outlineLevel="0" collapsed="false">
      <c r="A486" s="115"/>
      <c r="B486" s="102"/>
      <c r="C486" s="102"/>
      <c r="D486" s="92"/>
      <c r="E486" s="116" t="str">
        <f aca="false">IF($B486="","",IF(COUNTIF(Lijsten!$A$6:$A$12,$B486)&gt;0,"Inkomst","Uitgave"))</f>
        <v/>
      </c>
      <c r="F486" s="102"/>
      <c r="G486" s="105"/>
      <c r="H486" s="116" t="str">
        <f aca="false">IF($A486="","",YEAR($A486)*100+MONTH($A486))</f>
        <v/>
      </c>
    </row>
    <row r="487" customFormat="false" ht="15" hidden="false" customHeight="false" outlineLevel="0" collapsed="false">
      <c r="A487" s="115"/>
      <c r="B487" s="102"/>
      <c r="C487" s="102"/>
      <c r="D487" s="92"/>
      <c r="E487" s="116" t="str">
        <f aca="false">IF($B487="","",IF(COUNTIF(Lijsten!$A$6:$A$12,$B487)&gt;0,"Inkomst","Uitgave"))</f>
        <v/>
      </c>
      <c r="F487" s="102"/>
      <c r="G487" s="105"/>
      <c r="H487" s="116" t="str">
        <f aca="false">IF($A487="","",YEAR($A487)*100+MONTH($A487))</f>
        <v/>
      </c>
    </row>
    <row r="488" customFormat="false" ht="15" hidden="false" customHeight="false" outlineLevel="0" collapsed="false">
      <c r="A488" s="115"/>
      <c r="B488" s="102"/>
      <c r="C488" s="102"/>
      <c r="D488" s="92"/>
      <c r="E488" s="116" t="str">
        <f aca="false">IF($B488="","",IF(COUNTIF(Lijsten!$A$6:$A$12,$B488)&gt;0,"Inkomst","Uitgave"))</f>
        <v/>
      </c>
      <c r="F488" s="102"/>
      <c r="G488" s="105"/>
      <c r="H488" s="116" t="str">
        <f aca="false">IF($A488="","",YEAR($A488)*100+MONTH($A488))</f>
        <v/>
      </c>
    </row>
    <row r="489" customFormat="false" ht="15" hidden="false" customHeight="false" outlineLevel="0" collapsed="false">
      <c r="A489" s="115"/>
      <c r="B489" s="102"/>
      <c r="C489" s="102"/>
      <c r="D489" s="92"/>
      <c r="E489" s="116" t="str">
        <f aca="false">IF($B489="","",IF(COUNTIF(Lijsten!$A$6:$A$12,$B489)&gt;0,"Inkomst","Uitgave"))</f>
        <v/>
      </c>
      <c r="F489" s="102"/>
      <c r="G489" s="105"/>
      <c r="H489" s="116" t="str">
        <f aca="false">IF($A489="","",YEAR($A489)*100+MONTH($A489))</f>
        <v/>
      </c>
    </row>
    <row r="490" customFormat="false" ht="15" hidden="false" customHeight="false" outlineLevel="0" collapsed="false">
      <c r="A490" s="115"/>
      <c r="B490" s="102"/>
      <c r="C490" s="102"/>
      <c r="D490" s="92"/>
      <c r="E490" s="116" t="str">
        <f aca="false">IF($B490="","",IF(COUNTIF(Lijsten!$A$6:$A$12,$B490)&gt;0,"Inkomst","Uitgave"))</f>
        <v/>
      </c>
      <c r="F490" s="102"/>
      <c r="G490" s="105"/>
      <c r="H490" s="116" t="str">
        <f aca="false">IF($A490="","",YEAR($A490)*100+MONTH($A490))</f>
        <v/>
      </c>
    </row>
    <row r="491" customFormat="false" ht="15" hidden="false" customHeight="false" outlineLevel="0" collapsed="false">
      <c r="A491" s="115"/>
      <c r="B491" s="102"/>
      <c r="C491" s="102"/>
      <c r="D491" s="92"/>
      <c r="E491" s="116" t="str">
        <f aca="false">IF($B491="","",IF(COUNTIF(Lijsten!$A$6:$A$12,$B491)&gt;0,"Inkomst","Uitgave"))</f>
        <v/>
      </c>
      <c r="F491" s="102"/>
      <c r="G491" s="105"/>
      <c r="H491" s="116" t="str">
        <f aca="false">IF($A491="","",YEAR($A491)*100+MONTH($A491))</f>
        <v/>
      </c>
    </row>
    <row r="492" customFormat="false" ht="15" hidden="false" customHeight="false" outlineLevel="0" collapsed="false">
      <c r="A492" s="115"/>
      <c r="B492" s="102"/>
      <c r="C492" s="102"/>
      <c r="D492" s="92"/>
      <c r="E492" s="116" t="str">
        <f aca="false">IF($B492="","",IF(COUNTIF(Lijsten!$A$6:$A$12,$B492)&gt;0,"Inkomst","Uitgave"))</f>
        <v/>
      </c>
      <c r="F492" s="102"/>
      <c r="G492" s="105"/>
      <c r="H492" s="116" t="str">
        <f aca="false">IF($A492="","",YEAR($A492)*100+MONTH($A492))</f>
        <v/>
      </c>
    </row>
    <row r="493" customFormat="false" ht="15" hidden="false" customHeight="false" outlineLevel="0" collapsed="false">
      <c r="A493" s="115"/>
      <c r="B493" s="102"/>
      <c r="C493" s="102"/>
      <c r="D493" s="92"/>
      <c r="E493" s="116" t="str">
        <f aca="false">IF($B493="","",IF(COUNTIF(Lijsten!$A$6:$A$12,$B493)&gt;0,"Inkomst","Uitgave"))</f>
        <v/>
      </c>
      <c r="F493" s="102"/>
      <c r="G493" s="105"/>
      <c r="H493" s="116" t="str">
        <f aca="false">IF($A493="","",YEAR($A493)*100+MONTH($A493))</f>
        <v/>
      </c>
    </row>
    <row r="494" customFormat="false" ht="15" hidden="false" customHeight="false" outlineLevel="0" collapsed="false">
      <c r="A494" s="115"/>
      <c r="B494" s="102"/>
      <c r="C494" s="102"/>
      <c r="D494" s="92"/>
      <c r="E494" s="116" t="str">
        <f aca="false">IF($B494="","",IF(COUNTIF(Lijsten!$A$6:$A$12,$B494)&gt;0,"Inkomst","Uitgave"))</f>
        <v/>
      </c>
      <c r="F494" s="102"/>
      <c r="G494" s="105"/>
      <c r="H494" s="116" t="str">
        <f aca="false">IF($A494="","",YEAR($A494)*100+MONTH($A494))</f>
        <v/>
      </c>
    </row>
    <row r="495" customFormat="false" ht="15" hidden="false" customHeight="false" outlineLevel="0" collapsed="false">
      <c r="A495" s="115"/>
      <c r="B495" s="102"/>
      <c r="C495" s="102"/>
      <c r="D495" s="92"/>
      <c r="E495" s="116" t="str">
        <f aca="false">IF($B495="","",IF(COUNTIF(Lijsten!$A$6:$A$12,$B495)&gt;0,"Inkomst","Uitgave"))</f>
        <v/>
      </c>
      <c r="F495" s="102"/>
      <c r="G495" s="105"/>
      <c r="H495" s="116" t="str">
        <f aca="false">IF($A495="","",YEAR($A495)*100+MONTH($A495))</f>
        <v/>
      </c>
    </row>
    <row r="496" customFormat="false" ht="15" hidden="false" customHeight="false" outlineLevel="0" collapsed="false">
      <c r="A496" s="115"/>
      <c r="B496" s="102"/>
      <c r="C496" s="102"/>
      <c r="D496" s="92"/>
      <c r="E496" s="116" t="str">
        <f aca="false">IF($B496="","",IF(COUNTIF(Lijsten!$A$6:$A$12,$B496)&gt;0,"Inkomst","Uitgave"))</f>
        <v/>
      </c>
      <c r="F496" s="102"/>
      <c r="G496" s="105"/>
      <c r="H496" s="116" t="str">
        <f aca="false">IF($A496="","",YEAR($A496)*100+MONTH($A496))</f>
        <v/>
      </c>
    </row>
    <row r="497" customFormat="false" ht="15" hidden="false" customHeight="false" outlineLevel="0" collapsed="false">
      <c r="A497" s="115"/>
      <c r="B497" s="102"/>
      <c r="C497" s="102"/>
      <c r="D497" s="92"/>
      <c r="E497" s="116" t="str">
        <f aca="false">IF($B497="","",IF(COUNTIF(Lijsten!$A$6:$A$12,$B497)&gt;0,"Inkomst","Uitgave"))</f>
        <v/>
      </c>
      <c r="F497" s="102"/>
      <c r="G497" s="105"/>
      <c r="H497" s="116" t="str">
        <f aca="false">IF($A497="","",YEAR($A497)*100+MONTH($A497))</f>
        <v/>
      </c>
    </row>
    <row r="498" customFormat="false" ht="15" hidden="false" customHeight="false" outlineLevel="0" collapsed="false">
      <c r="A498" s="115"/>
      <c r="B498" s="102"/>
      <c r="C498" s="102"/>
      <c r="D498" s="92"/>
      <c r="E498" s="116" t="str">
        <f aca="false">IF($B498="","",IF(COUNTIF(Lijsten!$A$6:$A$12,$B498)&gt;0,"Inkomst","Uitgave"))</f>
        <v/>
      </c>
      <c r="F498" s="102"/>
      <c r="G498" s="105"/>
      <c r="H498" s="116" t="str">
        <f aca="false">IF($A498="","",YEAR($A498)*100+MONTH($A498))</f>
        <v/>
      </c>
    </row>
    <row r="499" customFormat="false" ht="15" hidden="false" customHeight="false" outlineLevel="0" collapsed="false">
      <c r="A499" s="115"/>
      <c r="B499" s="102"/>
      <c r="C499" s="102"/>
      <c r="D499" s="92"/>
      <c r="E499" s="116" t="str">
        <f aca="false">IF($B499="","",IF(COUNTIF(Lijsten!$A$6:$A$12,$B499)&gt;0,"Inkomst","Uitgave"))</f>
        <v/>
      </c>
      <c r="F499" s="102"/>
      <c r="G499" s="105"/>
      <c r="H499" s="116" t="str">
        <f aca="false">IF($A499="","",YEAR($A499)*100+MONTH($A499))</f>
        <v/>
      </c>
    </row>
    <row r="500" customFormat="false" ht="15" hidden="false" customHeight="false" outlineLevel="0" collapsed="false">
      <c r="A500" s="115"/>
      <c r="B500" s="102"/>
      <c r="C500" s="102"/>
      <c r="D500" s="92"/>
      <c r="E500" s="116" t="str">
        <f aca="false">IF($B500="","",IF(COUNTIF(Lijsten!$A$6:$A$12,$B500)&gt;0,"Inkomst","Uitgave"))</f>
        <v/>
      </c>
      <c r="F500" s="102"/>
      <c r="G500" s="105"/>
      <c r="H500" s="116" t="str">
        <f aca="false">IF($A500="","",YEAR($A500)*100+MONTH($A500))</f>
        <v/>
      </c>
    </row>
    <row r="501" customFormat="false" ht="15" hidden="false" customHeight="false" outlineLevel="0" collapsed="false">
      <c r="A501" s="115"/>
      <c r="B501" s="102"/>
      <c r="C501" s="102"/>
      <c r="D501" s="92"/>
      <c r="E501" s="116" t="str">
        <f aca="false">IF($B501="","",IF(COUNTIF(Lijsten!$A$6:$A$12,$B501)&gt;0,"Inkomst","Uitgave"))</f>
        <v/>
      </c>
      <c r="F501" s="102"/>
      <c r="G501" s="105"/>
      <c r="H501" s="116" t="str">
        <f aca="false">IF($A501="","",YEAR($A501)*100+MONTH($A501))</f>
        <v/>
      </c>
    </row>
    <row r="502" customFormat="false" ht="15" hidden="false" customHeight="false" outlineLevel="0" collapsed="false">
      <c r="A502" s="115"/>
      <c r="B502" s="102"/>
      <c r="C502" s="102"/>
      <c r="D502" s="92"/>
      <c r="E502" s="116" t="str">
        <f aca="false">IF($B502="","",IF(COUNTIF(Lijsten!$A$6:$A$12,$B502)&gt;0,"Inkomst","Uitgave"))</f>
        <v/>
      </c>
      <c r="F502" s="102"/>
      <c r="G502" s="105"/>
      <c r="H502" s="116" t="str">
        <f aca="false">IF($A502="","",YEAR($A502)*100+MONTH($A502))</f>
        <v/>
      </c>
    </row>
    <row r="503" customFormat="false" ht="15" hidden="false" customHeight="false" outlineLevel="0" collapsed="false">
      <c r="A503" s="115"/>
      <c r="B503" s="102"/>
      <c r="C503" s="102"/>
      <c r="D503" s="92"/>
      <c r="E503" s="116" t="str">
        <f aca="false">IF($B503="","",IF(COUNTIF(Lijsten!$A$6:$A$12,$B503)&gt;0,"Inkomst","Uitgave"))</f>
        <v/>
      </c>
      <c r="F503" s="102"/>
      <c r="G503" s="105"/>
      <c r="H503" s="116" t="str">
        <f aca="false">IF($A503="","",YEAR($A503)*100+MONTH($A503))</f>
        <v/>
      </c>
    </row>
    <row r="504" customFormat="false" ht="15" hidden="false" customHeight="false" outlineLevel="0" collapsed="false">
      <c r="A504" s="115"/>
      <c r="B504" s="102"/>
      <c r="C504" s="102"/>
      <c r="D504" s="92"/>
      <c r="E504" s="116" t="str">
        <f aca="false">IF($B504="","",IF(COUNTIF(Lijsten!$A$6:$A$12,$B504)&gt;0,"Inkomst","Uitgave"))</f>
        <v/>
      </c>
      <c r="F504" s="102"/>
      <c r="G504" s="105"/>
      <c r="H504" s="116" t="str">
        <f aca="false">IF($A504="","",YEAR($A504)*100+MONTH($A504))</f>
        <v/>
      </c>
    </row>
    <row r="505" customFormat="false" ht="15" hidden="false" customHeight="false" outlineLevel="0" collapsed="false">
      <c r="A505" s="115"/>
      <c r="B505" s="102"/>
      <c r="C505" s="102"/>
      <c r="D505" s="92"/>
      <c r="E505" s="116" t="str">
        <f aca="false">IF($B505="","",IF(COUNTIF(Lijsten!$A$6:$A$12,$B505)&gt;0,"Inkomst","Uitgave"))</f>
        <v/>
      </c>
      <c r="F505" s="102"/>
      <c r="G505" s="105"/>
      <c r="H505" s="116" t="str">
        <f aca="false">IF($A505="","",YEAR($A505)*100+MONTH($A505))</f>
        <v/>
      </c>
    </row>
    <row r="506" customFormat="false" ht="15" hidden="false" customHeight="false" outlineLevel="0" collapsed="false">
      <c r="A506" s="115"/>
      <c r="B506" s="102"/>
      <c r="C506" s="102"/>
      <c r="D506" s="92"/>
      <c r="E506" s="116" t="str">
        <f aca="false">IF($B506="","",IF(COUNTIF(Lijsten!$A$6:$A$12,$B506)&gt;0,"Inkomst","Uitgave"))</f>
        <v/>
      </c>
      <c r="F506" s="102"/>
      <c r="G506" s="105"/>
      <c r="H506" s="116" t="str">
        <f aca="false">IF($A506="","",YEAR($A506)*100+MONTH($A506))</f>
        <v/>
      </c>
    </row>
    <row r="507" customFormat="false" ht="15" hidden="false" customHeight="false" outlineLevel="0" collapsed="false">
      <c r="A507" s="115"/>
      <c r="B507" s="102"/>
      <c r="C507" s="102"/>
      <c r="D507" s="92"/>
      <c r="E507" s="116" t="str">
        <f aca="false">IF($B507="","",IF(COUNTIF(Lijsten!$A$6:$A$12,$B507)&gt;0,"Inkomst","Uitgave"))</f>
        <v/>
      </c>
      <c r="F507" s="102"/>
      <c r="G507" s="105"/>
      <c r="H507" s="116" t="str">
        <f aca="false">IF($A507="","",YEAR($A507)*100+MONTH($A507))</f>
        <v/>
      </c>
    </row>
  </sheetData>
  <autoFilter ref="A7:H507"/>
  <dataValidations count="3">
    <dataValidation allowBlank="true" error="Kies een categorie uit de lijst of voeg hem toe op Lijsten." errorStyle="stop" errorTitle="Onbekende categorie" operator="between" showDropDown="false" showErrorMessage="true" showInputMessage="false" sqref="B8:B507" type="list">
      <formula1>Lijsten!$O$6:$O$42</formula1>
      <formula2>0</formula2>
    </dataValidation>
    <dataValidation allowBlank="true" errorStyle="stop" operator="between" showDropDown="false" showErrorMessage="false" showInputMessage="false" sqref="F8:F507" type="list">
      <formula1>Lijsten!$I$6:$I$13</formula1>
      <formula2>0</formula2>
    </dataValidation>
    <dataValidation allowBlank="true" error="Vul een positief bedrag in." errorStyle="stop" errorTitle="Bedrag moet positief zijn" operator="greaterThanOrEqual" showDropDown="false" showErrorMessage="true" showInputMessage="false" sqref="D8:D507" type="decimal">
      <formula1>0</formula1>
      <formula2>0</formula2>
    </dataValidation>
  </dataValidations>
  <hyperlinks>
    <hyperlink ref="E1" location="'Start'!A1" display="⌂  Menu"/>
    <hyperlink ref="F1" location="'Dashboard'!A1" display="Dashboard ▸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B5563"/>
    <pageSetUpPr fitToPage="false"/>
  </sheetPr>
  <dimension ref="B2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5" min="3" style="0" width="15"/>
    <col collapsed="false" customWidth="true" hidden="false" outlineLevel="0" max="6" min="6" style="0" width="17"/>
    <col collapsed="false" customWidth="true" hidden="true" outlineLevel="0" max="7" min="7" style="0" width="13"/>
  </cols>
  <sheetData>
    <row r="2" customFormat="false" ht="22.05" hidden="false" customHeight="false" outlineLevel="0" collapsed="false">
      <c r="B2" s="76" t="s">
        <v>18</v>
      </c>
      <c r="D2" s="32" t="s">
        <v>36</v>
      </c>
      <c r="E2" s="77" t="s">
        <v>82</v>
      </c>
    </row>
    <row r="3" customFormat="false" ht="15" hidden="false" customHeight="false" outlineLevel="0" collapsed="false">
      <c r="B3" s="15" t="s">
        <v>163</v>
      </c>
    </row>
    <row r="5" customFormat="false" ht="15" hidden="false" customHeight="false" outlineLevel="0" collapsed="false">
      <c r="B5" s="34" t="s">
        <v>44</v>
      </c>
      <c r="C5" s="117" t="n">
        <f aca="false">Dashboard!$E$5</f>
        <v>2026</v>
      </c>
    </row>
    <row r="7" customFormat="false" ht="15" hidden="false" customHeight="false" outlineLevel="0" collapsed="false">
      <c r="B7" s="114" t="s">
        <v>42</v>
      </c>
      <c r="C7" s="114" t="s">
        <v>164</v>
      </c>
      <c r="D7" s="114" t="s">
        <v>165</v>
      </c>
      <c r="E7" s="114" t="s">
        <v>166</v>
      </c>
      <c r="F7" s="114" t="s">
        <v>167</v>
      </c>
    </row>
    <row r="8" customFormat="false" ht="15" hidden="false" customHeight="false" outlineLevel="0" collapsed="false">
      <c r="B8" s="48" t="str">
        <f aca="false">Lijsten!$K$6</f>
        <v>januari</v>
      </c>
      <c r="C8" s="82" t="n">
        <f aca="false">SUMIFS('Vaste inkomsten'!$K$8:$K$37,'Vaste inkomsten'!$H$8:$H$37,"Ja")+SUMIFS(Transacties!$D$8:$D$507,Transacties!$H$8:$H$507,$G8,Transacties!$E$8:$E$507,"Inkomst")</f>
        <v>2800</v>
      </c>
      <c r="D8" s="82" t="n">
        <f aca="false">SUMIFS('Vaste lasten'!$K$8:$K$207,'Vaste lasten'!$H$8:$H$207,"Ja")+SUMIFS(Schulden!$E$8:$E$37,Schulden!$G$8:$G$37,"Ja")+SUMIFS(Transacties!$D$8:$D$507,Transacties!$H$8:$H$507,$G8)-SUMIFS(Transacties!$D$8:$D$507,Transacties!$H$8:$H$507,$G8,Transacties!$E$8:$E$507,"Inkomst")</f>
        <v>1140</v>
      </c>
      <c r="E8" s="82" t="n">
        <f aca="false">$C8-$D8</f>
        <v>1660</v>
      </c>
      <c r="F8" s="82" t="n">
        <f aca="false">$E8</f>
        <v>1660</v>
      </c>
      <c r="G8" s="15" t="n">
        <f aca="false">$C$5*100+1</f>
        <v>202601</v>
      </c>
    </row>
    <row r="9" customFormat="false" ht="15" hidden="false" customHeight="false" outlineLevel="0" collapsed="false">
      <c r="B9" s="52" t="str">
        <f aca="false">Lijsten!$K$7</f>
        <v>februari</v>
      </c>
      <c r="C9" s="87" t="n">
        <f aca="false">SUMIFS('Vaste inkomsten'!$L$8:$L$37,'Vaste inkomsten'!$H$8:$H$37,"Ja")+SUMIFS(Transacties!$D$8:$D$507,Transacties!$H$8:$H$507,$G9,Transacties!$E$8:$E$507,"Inkomst")</f>
        <v>2800</v>
      </c>
      <c r="D9" s="87" t="n">
        <f aca="false">SUMIFS('Vaste lasten'!$L$8:$L$207,'Vaste lasten'!$H$8:$H$207,"Ja")+SUMIFS(Schulden!$E$8:$E$37,Schulden!$G$8:$G$37,"Ja")+SUMIFS(Transacties!$D$8:$D$507,Transacties!$H$8:$H$507,$G9)-SUMIFS(Transacties!$D$8:$D$507,Transacties!$H$8:$H$507,$G9,Transacties!$E$8:$E$507,"Inkomst")</f>
        <v>1140</v>
      </c>
      <c r="E9" s="87" t="n">
        <f aca="false">$C9-$D9</f>
        <v>1660</v>
      </c>
      <c r="F9" s="87" t="n">
        <f aca="false">$F8+$E9</f>
        <v>3320</v>
      </c>
      <c r="G9" s="15" t="n">
        <f aca="false">$C$5*100+2</f>
        <v>202602</v>
      </c>
    </row>
    <row r="10" customFormat="false" ht="15" hidden="false" customHeight="false" outlineLevel="0" collapsed="false">
      <c r="B10" s="48" t="str">
        <f aca="false">Lijsten!$K$8</f>
        <v>maart</v>
      </c>
      <c r="C10" s="82" t="n">
        <f aca="false">SUMIFS('Vaste inkomsten'!$M$8:$M$37,'Vaste inkomsten'!$H$8:$H$37,"Ja")+SUMIFS(Transacties!$D$8:$D$507,Transacties!$H$8:$H$507,$G10,Transacties!$E$8:$E$507,"Inkomst")</f>
        <v>2800</v>
      </c>
      <c r="D10" s="82" t="n">
        <f aca="false">SUMIFS('Vaste lasten'!$M$8:$M$207,'Vaste lasten'!$H$8:$H$207,"Ja")+SUMIFS(Schulden!$E$8:$E$37,Schulden!$G$8:$G$37,"Ja")+SUMIFS(Transacties!$D$8:$D$507,Transacties!$H$8:$H$507,$G10)-SUMIFS(Transacties!$D$8:$D$507,Transacties!$H$8:$H$507,$G10,Transacties!$E$8:$E$507,"Inkomst")</f>
        <v>1140</v>
      </c>
      <c r="E10" s="82" t="n">
        <f aca="false">$C10-$D10</f>
        <v>1660</v>
      </c>
      <c r="F10" s="82" t="n">
        <f aca="false">$F9+$E10</f>
        <v>4980</v>
      </c>
      <c r="G10" s="15" t="n">
        <f aca="false">$C$5*100+3</f>
        <v>202603</v>
      </c>
    </row>
    <row r="11" customFormat="false" ht="15" hidden="false" customHeight="false" outlineLevel="0" collapsed="false">
      <c r="B11" s="52" t="str">
        <f aca="false">Lijsten!$K$9</f>
        <v>april</v>
      </c>
      <c r="C11" s="87" t="n">
        <f aca="false">SUMIFS('Vaste inkomsten'!$N$8:$N$37,'Vaste inkomsten'!$H$8:$H$37,"Ja")+SUMIFS(Transacties!$D$8:$D$507,Transacties!$H$8:$H$507,$G11,Transacties!$E$8:$E$507,"Inkomst")</f>
        <v>2800</v>
      </c>
      <c r="D11" s="87" t="n">
        <f aca="false">SUMIFS('Vaste lasten'!$N$8:$N$207,'Vaste lasten'!$H$8:$H$207,"Ja")+SUMIFS(Schulden!$E$8:$E$37,Schulden!$G$8:$G$37,"Ja")+SUMIFS(Transacties!$D$8:$D$507,Transacties!$H$8:$H$507,$G11)-SUMIFS(Transacties!$D$8:$D$507,Transacties!$H$8:$H$507,$G11,Transacties!$E$8:$E$507,"Inkomst")</f>
        <v>1140</v>
      </c>
      <c r="E11" s="87" t="n">
        <f aca="false">$C11-$D11</f>
        <v>1660</v>
      </c>
      <c r="F11" s="87" t="n">
        <f aca="false">$F10+$E11</f>
        <v>6640</v>
      </c>
      <c r="G11" s="15" t="n">
        <f aca="false">$C$5*100+4</f>
        <v>202604</v>
      </c>
    </row>
    <row r="12" customFormat="false" ht="15" hidden="false" customHeight="false" outlineLevel="0" collapsed="false">
      <c r="B12" s="48" t="str">
        <f aca="false">Lijsten!$K$10</f>
        <v>mei</v>
      </c>
      <c r="C12" s="82" t="n">
        <f aca="false">SUMIFS('Vaste inkomsten'!$O$8:$O$37,'Vaste inkomsten'!$H$8:$H$37,"Ja")+SUMIFS(Transacties!$D$8:$D$507,Transacties!$H$8:$H$507,$G12,Transacties!$E$8:$E$507,"Inkomst")</f>
        <v>2800</v>
      </c>
      <c r="D12" s="82" t="n">
        <f aca="false">SUMIFS('Vaste lasten'!$O$8:$O$207,'Vaste lasten'!$H$8:$H$207,"Ja")+SUMIFS(Schulden!$E$8:$E$37,Schulden!$G$8:$G$37,"Ja")+SUMIFS(Transacties!$D$8:$D$507,Transacties!$H$8:$H$507,$G12)-SUMIFS(Transacties!$D$8:$D$507,Transacties!$H$8:$H$507,$G12,Transacties!$E$8:$E$507,"Inkomst")</f>
        <v>1140</v>
      </c>
      <c r="E12" s="82" t="n">
        <f aca="false">$C12-$D12</f>
        <v>1660</v>
      </c>
      <c r="F12" s="82" t="n">
        <f aca="false">$F11+$E12</f>
        <v>8300</v>
      </c>
      <c r="G12" s="15" t="n">
        <f aca="false">$C$5*100+5</f>
        <v>202605</v>
      </c>
    </row>
    <row r="13" customFormat="false" ht="15" hidden="false" customHeight="false" outlineLevel="0" collapsed="false">
      <c r="B13" s="52" t="str">
        <f aca="false">Lijsten!$K$11</f>
        <v>juni</v>
      </c>
      <c r="C13" s="87" t="n">
        <f aca="false">SUMIFS('Vaste inkomsten'!$P$8:$P$37,'Vaste inkomsten'!$H$8:$H$37,"Ja")+SUMIFS(Transacties!$D$8:$D$507,Transacties!$H$8:$H$507,$G13,Transacties!$E$8:$E$507,"Inkomst")</f>
        <v>2800</v>
      </c>
      <c r="D13" s="87" t="n">
        <f aca="false">SUMIFS('Vaste lasten'!$P$8:$P$207,'Vaste lasten'!$H$8:$H$207,"Ja")+SUMIFS(Schulden!$E$8:$E$37,Schulden!$G$8:$G$37,"Ja")+SUMIFS(Transacties!$D$8:$D$507,Transacties!$H$8:$H$507,$G13)-SUMIFS(Transacties!$D$8:$D$507,Transacties!$H$8:$H$507,$G13,Transacties!$E$8:$E$507,"Inkomst")</f>
        <v>1140</v>
      </c>
      <c r="E13" s="87" t="n">
        <f aca="false">$C13-$D13</f>
        <v>1660</v>
      </c>
      <c r="F13" s="87" t="n">
        <f aca="false">$F12+$E13</f>
        <v>9960</v>
      </c>
      <c r="G13" s="15" t="n">
        <f aca="false">$C$5*100+6</f>
        <v>202606</v>
      </c>
    </row>
    <row r="14" customFormat="false" ht="15" hidden="false" customHeight="false" outlineLevel="0" collapsed="false">
      <c r="B14" s="48" t="str">
        <f aca="false">Lijsten!$K$12</f>
        <v>juli</v>
      </c>
      <c r="C14" s="82" t="n">
        <f aca="false">SUMIFS('Vaste inkomsten'!$Q$8:$Q$37,'Vaste inkomsten'!$H$8:$H$37,"Ja")+SUMIFS(Transacties!$D$8:$D$507,Transacties!$H$8:$H$507,$G14,Transacties!$E$8:$E$507,"Inkomst")</f>
        <v>2800</v>
      </c>
      <c r="D14" s="82" t="n">
        <f aca="false">SUMIFS('Vaste lasten'!$Q$8:$Q$207,'Vaste lasten'!$H$8:$H$207,"Ja")+SUMIFS(Schulden!$E$8:$E$37,Schulden!$G$8:$G$37,"Ja")+SUMIFS(Transacties!$D$8:$D$507,Transacties!$H$8:$H$507,$G14)-SUMIFS(Transacties!$D$8:$D$507,Transacties!$H$8:$H$507,$G14,Transacties!$E$8:$E$507,"Inkomst")</f>
        <v>1140</v>
      </c>
      <c r="E14" s="82" t="n">
        <f aca="false">$C14-$D14</f>
        <v>1660</v>
      </c>
      <c r="F14" s="82" t="n">
        <f aca="false">$F13+$E14</f>
        <v>11620</v>
      </c>
      <c r="G14" s="15" t="n">
        <f aca="false">$C$5*100+7</f>
        <v>202607</v>
      </c>
    </row>
    <row r="15" customFormat="false" ht="15" hidden="false" customHeight="false" outlineLevel="0" collapsed="false">
      <c r="B15" s="52" t="str">
        <f aca="false">Lijsten!$K$13</f>
        <v>augustus</v>
      </c>
      <c r="C15" s="87" t="n">
        <f aca="false">SUMIFS('Vaste inkomsten'!$R$8:$R$37,'Vaste inkomsten'!$H$8:$H$37,"Ja")+SUMIFS(Transacties!$D$8:$D$507,Transacties!$H$8:$H$507,$G15,Transacties!$E$8:$E$507,"Inkomst")</f>
        <v>2800</v>
      </c>
      <c r="D15" s="87" t="n">
        <f aca="false">SUMIFS('Vaste lasten'!$R$8:$R$207,'Vaste lasten'!$H$8:$H$207,"Ja")+SUMIFS(Schulden!$E$8:$E$37,Schulden!$G$8:$G$37,"Ja")+SUMIFS(Transacties!$D$8:$D$507,Transacties!$H$8:$H$507,$G15)-SUMIFS(Transacties!$D$8:$D$507,Transacties!$H$8:$H$507,$G15,Transacties!$E$8:$E$507,"Inkomst")</f>
        <v>1202.3</v>
      </c>
      <c r="E15" s="87" t="n">
        <f aca="false">$C15-$D15</f>
        <v>1597.7</v>
      </c>
      <c r="F15" s="87" t="n">
        <f aca="false">$F14+$E15</f>
        <v>13217.7</v>
      </c>
      <c r="G15" s="15" t="n">
        <f aca="false">$C$5*100+8</f>
        <v>202608</v>
      </c>
    </row>
    <row r="16" customFormat="false" ht="15" hidden="false" customHeight="false" outlineLevel="0" collapsed="false">
      <c r="B16" s="48" t="str">
        <f aca="false">Lijsten!$K$14</f>
        <v>september</v>
      </c>
      <c r="C16" s="82" t="n">
        <f aca="false">SUMIFS('Vaste inkomsten'!$S$8:$S$37,'Vaste inkomsten'!$H$8:$H$37,"Ja")+SUMIFS(Transacties!$D$8:$D$507,Transacties!$H$8:$H$507,$G16,Transacties!$E$8:$E$507,"Inkomst")</f>
        <v>2800</v>
      </c>
      <c r="D16" s="82" t="n">
        <f aca="false">SUMIFS('Vaste lasten'!$S$8:$S$207,'Vaste lasten'!$H$8:$H$207,"Ja")+SUMIFS(Schulden!$E$8:$E$37,Schulden!$G$8:$G$37,"Ja")+SUMIFS(Transacties!$D$8:$D$507,Transacties!$H$8:$H$507,$G16)-SUMIFS(Transacties!$D$8:$D$507,Transacties!$H$8:$H$507,$G16,Transacties!$E$8:$E$507,"Inkomst")</f>
        <v>1140</v>
      </c>
      <c r="E16" s="82" t="n">
        <f aca="false">$C16-$D16</f>
        <v>1660</v>
      </c>
      <c r="F16" s="82" t="n">
        <f aca="false">$F15+$E16</f>
        <v>14877.7</v>
      </c>
      <c r="G16" s="15" t="n">
        <f aca="false">$C$5*100+9</f>
        <v>202609</v>
      </c>
    </row>
    <row r="17" customFormat="false" ht="15" hidden="false" customHeight="false" outlineLevel="0" collapsed="false">
      <c r="B17" s="52" t="str">
        <f aca="false">Lijsten!$K$15</f>
        <v>oktober</v>
      </c>
      <c r="C17" s="87" t="n">
        <f aca="false">SUMIFS('Vaste inkomsten'!$T$8:$T$37,'Vaste inkomsten'!$H$8:$H$37,"Ja")+SUMIFS(Transacties!$D$8:$D$507,Transacties!$H$8:$H$507,$G17,Transacties!$E$8:$E$507,"Inkomst")</f>
        <v>2800</v>
      </c>
      <c r="D17" s="87" t="n">
        <f aca="false">SUMIFS('Vaste lasten'!$T$8:$T$207,'Vaste lasten'!$H$8:$H$207,"Ja")+SUMIFS(Schulden!$E$8:$E$37,Schulden!$G$8:$G$37,"Ja")+SUMIFS(Transacties!$D$8:$D$507,Transacties!$H$8:$H$507,$G17)-SUMIFS(Transacties!$D$8:$D$507,Transacties!$H$8:$H$507,$G17,Transacties!$E$8:$E$507,"Inkomst")</f>
        <v>1140</v>
      </c>
      <c r="E17" s="87" t="n">
        <f aca="false">$C17-$D17</f>
        <v>1660</v>
      </c>
      <c r="F17" s="87" t="n">
        <f aca="false">$F16+$E17</f>
        <v>16537.7</v>
      </c>
      <c r="G17" s="15" t="n">
        <f aca="false">$C$5*100+10</f>
        <v>202610</v>
      </c>
    </row>
    <row r="18" customFormat="false" ht="15" hidden="false" customHeight="false" outlineLevel="0" collapsed="false">
      <c r="B18" s="48" t="str">
        <f aca="false">Lijsten!$K$16</f>
        <v>november</v>
      </c>
      <c r="C18" s="82" t="n">
        <f aca="false">SUMIFS('Vaste inkomsten'!$U$8:$U$37,'Vaste inkomsten'!$H$8:$H$37,"Ja")+SUMIFS(Transacties!$D$8:$D$507,Transacties!$H$8:$H$507,$G18,Transacties!$E$8:$E$507,"Inkomst")</f>
        <v>2800</v>
      </c>
      <c r="D18" s="82" t="n">
        <f aca="false">SUMIFS('Vaste lasten'!$U$8:$U$207,'Vaste lasten'!$H$8:$H$207,"Ja")+SUMIFS(Schulden!$E$8:$E$37,Schulden!$G$8:$G$37,"Ja")+SUMIFS(Transacties!$D$8:$D$507,Transacties!$H$8:$H$507,$G18)-SUMIFS(Transacties!$D$8:$D$507,Transacties!$H$8:$H$507,$G18,Transacties!$E$8:$E$507,"Inkomst")</f>
        <v>1140</v>
      </c>
      <c r="E18" s="82" t="n">
        <f aca="false">$C18-$D18</f>
        <v>1660</v>
      </c>
      <c r="F18" s="82" t="n">
        <f aca="false">$F17+$E18</f>
        <v>18197.7</v>
      </c>
      <c r="G18" s="15" t="n">
        <f aca="false">$C$5*100+11</f>
        <v>202611</v>
      </c>
    </row>
    <row r="19" customFormat="false" ht="15" hidden="false" customHeight="false" outlineLevel="0" collapsed="false">
      <c r="B19" s="52" t="str">
        <f aca="false">Lijsten!$K$17</f>
        <v>december</v>
      </c>
      <c r="C19" s="87" t="n">
        <f aca="false">SUMIFS('Vaste inkomsten'!$V$8:$V$37,'Vaste inkomsten'!$H$8:$H$37,"Ja")+SUMIFS(Transacties!$D$8:$D$507,Transacties!$H$8:$H$507,$G19,Transacties!$E$8:$E$507,"Inkomst")</f>
        <v>2800</v>
      </c>
      <c r="D19" s="87" t="n">
        <f aca="false">SUMIFS('Vaste lasten'!$V$8:$V$207,'Vaste lasten'!$H$8:$H$207,"Ja")+SUMIFS(Schulden!$E$8:$E$37,Schulden!$G$8:$G$37,"Ja")+SUMIFS(Transacties!$D$8:$D$507,Transacties!$H$8:$H$507,$G19)-SUMIFS(Transacties!$D$8:$D$507,Transacties!$H$8:$H$507,$G19,Transacties!$E$8:$E$507,"Inkomst")</f>
        <v>1140</v>
      </c>
      <c r="E19" s="87" t="n">
        <f aca="false">$C19-$D19</f>
        <v>1660</v>
      </c>
      <c r="F19" s="87" t="n">
        <f aca="false">$F18+$E19</f>
        <v>19857.7</v>
      </c>
      <c r="G19" s="15" t="n">
        <f aca="false">$C$5*100+12</f>
        <v>202612</v>
      </c>
    </row>
    <row r="20" customFormat="false" ht="15" hidden="false" customHeight="false" outlineLevel="0" collapsed="false">
      <c r="B20" s="89" t="s">
        <v>168</v>
      </c>
      <c r="C20" s="90" t="n">
        <f aca="false">SUM(C8:C19)</f>
        <v>33600</v>
      </c>
      <c r="D20" s="90" t="n">
        <f aca="false">SUM(D8:D19)</f>
        <v>13742.3</v>
      </c>
      <c r="E20" s="90" t="n">
        <f aca="false">SUM(E8:E19)</f>
        <v>19857.7</v>
      </c>
      <c r="F20" s="91"/>
    </row>
    <row r="22" customFormat="false" ht="15" hidden="false" customHeight="false" outlineLevel="0" collapsed="false">
      <c r="B22" s="12" t="s">
        <v>169</v>
      </c>
    </row>
  </sheetData>
  <conditionalFormatting sqref="E8:E19">
    <cfRule type="cellIs" priority="2" operator="lessThan" aboveAverage="0" equalAverage="0" bottom="0" percent="0" rank="0" text="" dxfId="1">
      <formula>0</formula>
    </cfRule>
  </conditionalFormatting>
  <hyperlinks>
    <hyperlink ref="D2" location="'Start'!A1" display="⌂  Menu"/>
    <hyperlink ref="E2" location="'Dashboard'!A1" display="Dashboard ▸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A3AF"/>
    <pageSetUpPr fitToPage="false"/>
  </sheetPr>
  <dimension ref="A1:O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"/>
    <col collapsed="false" customWidth="true" hidden="false" outlineLevel="0" max="3" min="3" style="0" width="26"/>
    <col collapsed="false" customWidth="true" hidden="false" outlineLevel="0" max="4" min="4" style="0" width="2"/>
    <col collapsed="false" customWidth="true" hidden="false" outlineLevel="0" max="5" min="5" style="0" width="24"/>
    <col collapsed="false" customWidth="true" hidden="false" outlineLevel="0" max="6" min="6" style="0" width="2"/>
    <col collapsed="false" customWidth="true" hidden="false" outlineLevel="0" max="7" min="7" style="0" width="22"/>
    <col collapsed="false" customWidth="true" hidden="false" outlineLevel="0" max="8" min="8" style="0" width="2"/>
    <col collapsed="false" customWidth="true" hidden="false" outlineLevel="0" max="9" min="9" style="0" width="22"/>
    <col collapsed="false" customWidth="true" hidden="false" outlineLevel="0" max="10" min="10" style="0" width="2"/>
    <col collapsed="false" customWidth="true" hidden="false" outlineLevel="0" max="11" min="11" style="0" width="14"/>
    <col collapsed="false" customWidth="true" hidden="false" outlineLevel="0" max="12" min="12" style="0" width="2"/>
    <col collapsed="false" customWidth="true" hidden="false" outlineLevel="0" max="13" min="13" style="0" width="16"/>
    <col collapsed="false" customWidth="true" hidden="false" outlineLevel="0" max="14" min="14" style="0" width="2"/>
    <col collapsed="false" customWidth="true" hidden="false" outlineLevel="0" max="15" min="15" style="0" width="24"/>
  </cols>
  <sheetData>
    <row r="1" customFormat="false" ht="19.7" hidden="false" customHeight="false" outlineLevel="0" collapsed="false">
      <c r="A1" s="95" t="s">
        <v>22</v>
      </c>
      <c r="C1" s="32" t="s">
        <v>36</v>
      </c>
      <c r="E1" s="77" t="s">
        <v>82</v>
      </c>
    </row>
    <row r="2" customFormat="false" ht="15" hidden="false" customHeight="false" outlineLevel="0" collapsed="false">
      <c r="A2" s="15" t="s">
        <v>170</v>
      </c>
    </row>
    <row r="3" customFormat="false" ht="15" hidden="false" customHeight="false" outlineLevel="0" collapsed="false">
      <c r="A3" s="12" t="s">
        <v>171</v>
      </c>
    </row>
    <row r="5" customFormat="false" ht="15" hidden="false" customHeight="false" outlineLevel="0" collapsed="false">
      <c r="A5" s="99" t="s">
        <v>172</v>
      </c>
      <c r="C5" s="99" t="s">
        <v>173</v>
      </c>
      <c r="E5" s="99" t="s">
        <v>174</v>
      </c>
      <c r="G5" s="99" t="s">
        <v>175</v>
      </c>
      <c r="I5" s="99" t="s">
        <v>158</v>
      </c>
      <c r="K5" s="99" t="s">
        <v>176</v>
      </c>
      <c r="M5" s="99" t="s">
        <v>103</v>
      </c>
      <c r="O5" s="99" t="s">
        <v>177</v>
      </c>
    </row>
    <row r="6" customFormat="false" ht="15" hidden="false" customHeight="false" outlineLevel="0" collapsed="false">
      <c r="A6" s="102" t="s">
        <v>135</v>
      </c>
      <c r="C6" s="102" t="s">
        <v>124</v>
      </c>
      <c r="E6" s="102" t="s">
        <v>122</v>
      </c>
      <c r="G6" s="102" t="s">
        <v>148</v>
      </c>
      <c r="I6" s="102" t="s">
        <v>162</v>
      </c>
      <c r="K6" s="102" t="s">
        <v>109</v>
      </c>
      <c r="M6" s="102" t="s">
        <v>123</v>
      </c>
      <c r="O6" s="15" t="str">
        <f aca="false">IF($A6="","",$A6)</f>
        <v>Salaris</v>
      </c>
    </row>
    <row r="7" customFormat="false" ht="15" hidden="false" customHeight="false" outlineLevel="0" collapsed="false">
      <c r="A7" s="102" t="s">
        <v>178</v>
      </c>
      <c r="C7" s="102" t="s">
        <v>179</v>
      </c>
      <c r="E7" s="102" t="s">
        <v>180</v>
      </c>
      <c r="G7" s="102" t="s">
        <v>181</v>
      </c>
      <c r="I7" s="102" t="s">
        <v>182</v>
      </c>
      <c r="K7" s="102" t="s">
        <v>110</v>
      </c>
      <c r="M7" s="102" t="s">
        <v>183</v>
      </c>
      <c r="O7" s="15" t="str">
        <f aca="false">IF($A7="","",$A7)</f>
        <v>Vakantiegeld</v>
      </c>
    </row>
    <row r="8" customFormat="false" ht="15" hidden="false" customHeight="false" outlineLevel="0" collapsed="false">
      <c r="A8" s="102" t="s">
        <v>184</v>
      </c>
      <c r="C8" s="102" t="s">
        <v>185</v>
      </c>
      <c r="E8" s="102" t="s">
        <v>186</v>
      </c>
      <c r="G8" s="102" t="s">
        <v>187</v>
      </c>
      <c r="I8" s="102" t="s">
        <v>188</v>
      </c>
      <c r="K8" s="102" t="s">
        <v>111</v>
      </c>
      <c r="M8" s="102" t="s">
        <v>129</v>
      </c>
      <c r="O8" s="15" t="str">
        <f aca="false">IF($A8="","",$A8)</f>
        <v>Bonus / extra werk</v>
      </c>
    </row>
    <row r="9" customFormat="false" ht="15" hidden="false" customHeight="false" outlineLevel="0" collapsed="false">
      <c r="A9" s="102" t="s">
        <v>189</v>
      </c>
      <c r="C9" s="102" t="s">
        <v>190</v>
      </c>
      <c r="E9" s="102" t="s">
        <v>191</v>
      </c>
      <c r="G9" s="102"/>
      <c r="I9" s="102" t="s">
        <v>192</v>
      </c>
      <c r="K9" s="102" t="s">
        <v>112</v>
      </c>
      <c r="M9" s="102" t="s">
        <v>193</v>
      </c>
      <c r="O9" s="15" t="str">
        <f aca="false">IF($A9="","",$A9)</f>
        <v>Toeslagen</v>
      </c>
    </row>
    <row r="10" customFormat="false" ht="15" hidden="false" customHeight="false" outlineLevel="0" collapsed="false">
      <c r="A10" s="102" t="s">
        <v>194</v>
      </c>
      <c r="C10" s="102" t="s">
        <v>195</v>
      </c>
      <c r="E10" s="102" t="s">
        <v>196</v>
      </c>
      <c r="G10" s="102"/>
      <c r="I10" s="102" t="s">
        <v>197</v>
      </c>
      <c r="K10" s="102" t="s">
        <v>113</v>
      </c>
      <c r="M10" s="102" t="s">
        <v>198</v>
      </c>
      <c r="O10" s="15" t="str">
        <f aca="false">IF($A10="","",$A10)</f>
        <v>Overig inkomen</v>
      </c>
    </row>
    <row r="11" customFormat="false" ht="15" hidden="false" customHeight="false" outlineLevel="0" collapsed="false">
      <c r="A11" s="102"/>
      <c r="C11" s="102" t="s">
        <v>130</v>
      </c>
      <c r="E11" s="102" t="s">
        <v>199</v>
      </c>
      <c r="G11" s="102"/>
      <c r="I11" s="102" t="s">
        <v>200</v>
      </c>
      <c r="K11" s="102" t="s">
        <v>114</v>
      </c>
      <c r="O11" s="15" t="str">
        <f aca="false">IF($A11="","",$A11)</f>
        <v/>
      </c>
    </row>
    <row r="12" customFormat="false" ht="15" hidden="false" customHeight="false" outlineLevel="0" collapsed="false">
      <c r="A12" s="102"/>
      <c r="C12" s="102" t="s">
        <v>201</v>
      </c>
      <c r="E12" s="102" t="s">
        <v>202</v>
      </c>
      <c r="G12" s="102"/>
      <c r="I12" s="102" t="s">
        <v>203</v>
      </c>
      <c r="K12" s="102" t="s">
        <v>115</v>
      </c>
      <c r="O12" s="15" t="str">
        <f aca="false">IF($A12="","",$A12)</f>
        <v/>
      </c>
    </row>
    <row r="13" customFormat="false" ht="15" hidden="false" customHeight="false" outlineLevel="0" collapsed="false">
      <c r="C13" s="102" t="s">
        <v>160</v>
      </c>
      <c r="E13" s="102" t="s">
        <v>128</v>
      </c>
      <c r="G13" s="102"/>
      <c r="I13" s="102" t="s">
        <v>204</v>
      </c>
      <c r="K13" s="102" t="s">
        <v>43</v>
      </c>
      <c r="O13" s="15" t="str">
        <f aca="false">IF($C6="","",$C6)</f>
        <v>Wonen</v>
      </c>
    </row>
    <row r="14" customFormat="false" ht="15" hidden="false" customHeight="false" outlineLevel="0" collapsed="false">
      <c r="C14" s="102" t="s">
        <v>205</v>
      </c>
      <c r="E14" s="102" t="s">
        <v>206</v>
      </c>
      <c r="G14" s="102"/>
      <c r="K14" s="102" t="s">
        <v>116</v>
      </c>
      <c r="O14" s="15" t="str">
        <f aca="false">IF($C7="","",$C7)</f>
        <v>Nutsvoorzieningen</v>
      </c>
    </row>
    <row r="15" customFormat="false" ht="15" hidden="false" customHeight="false" outlineLevel="0" collapsed="false">
      <c r="C15" s="102" t="s">
        <v>207</v>
      </c>
      <c r="E15" s="102" t="s">
        <v>208</v>
      </c>
      <c r="G15" s="102"/>
      <c r="K15" s="102" t="s">
        <v>117</v>
      </c>
      <c r="O15" s="15" t="str">
        <f aca="false">IF($C8="","",$C8)</f>
        <v>Telefoon &amp; internet</v>
      </c>
    </row>
    <row r="16" customFormat="false" ht="15" hidden="false" customHeight="false" outlineLevel="0" collapsed="false">
      <c r="C16" s="102" t="s">
        <v>209</v>
      </c>
      <c r="E16" s="102" t="s">
        <v>210</v>
      </c>
      <c r="G16" s="102"/>
      <c r="K16" s="102" t="s">
        <v>118</v>
      </c>
      <c r="O16" s="15" t="str">
        <f aca="false">IF($C9="","",$C9)</f>
        <v>Technologie &amp; software</v>
      </c>
    </row>
    <row r="17" customFormat="false" ht="15" hidden="false" customHeight="false" outlineLevel="0" collapsed="false">
      <c r="C17" s="102" t="s">
        <v>211</v>
      </c>
      <c r="E17" s="102" t="s">
        <v>212</v>
      </c>
      <c r="G17" s="102"/>
      <c r="K17" s="102" t="s">
        <v>119</v>
      </c>
      <c r="O17" s="15" t="str">
        <f aca="false">IF($C10="","",$C10)</f>
        <v>Verzekeringen</v>
      </c>
    </row>
    <row r="18" customFormat="false" ht="15" hidden="false" customHeight="false" outlineLevel="0" collapsed="false">
      <c r="C18" s="102" t="s">
        <v>213</v>
      </c>
      <c r="E18" s="102"/>
      <c r="G18" s="102"/>
      <c r="O18" s="15" t="str">
        <f aca="false">IF($C11="","",$C11)</f>
        <v>Auto &amp; vervoer</v>
      </c>
    </row>
    <row r="19" customFormat="false" ht="15" hidden="false" customHeight="false" outlineLevel="0" collapsed="false">
      <c r="C19" s="102" t="s">
        <v>214</v>
      </c>
      <c r="E19" s="102"/>
      <c r="G19" s="102"/>
      <c r="O19" s="15" t="str">
        <f aca="false">IF($C12="","",$C12)</f>
        <v>Belastingen</v>
      </c>
    </row>
    <row r="20" customFormat="false" ht="15" hidden="false" customHeight="false" outlineLevel="0" collapsed="false">
      <c r="C20" s="102" t="s">
        <v>215</v>
      </c>
      <c r="E20" s="102"/>
      <c r="G20" s="102"/>
      <c r="O20" s="15" t="str">
        <f aca="false">IF($C13="","",$C13)</f>
        <v>Boodschappen &amp; eten</v>
      </c>
    </row>
    <row r="21" customFormat="false" ht="15" hidden="false" customHeight="false" outlineLevel="0" collapsed="false">
      <c r="C21" s="102" t="s">
        <v>216</v>
      </c>
      <c r="E21" s="102"/>
      <c r="G21" s="102"/>
      <c r="O21" s="15" t="str">
        <f aca="false">IF($C14="","",$C14)</f>
        <v>Uit eten &amp; horeca</v>
      </c>
    </row>
    <row r="22" customFormat="false" ht="15" hidden="false" customHeight="false" outlineLevel="0" collapsed="false">
      <c r="C22" s="102" t="s">
        <v>217</v>
      </c>
      <c r="E22" s="102"/>
      <c r="G22" s="102"/>
      <c r="O22" s="15" t="str">
        <f aca="false">IF($C15="","",$C15)</f>
        <v>Gezondheid &amp; zorg</v>
      </c>
    </row>
    <row r="23" customFormat="false" ht="15" hidden="false" customHeight="false" outlineLevel="0" collapsed="false">
      <c r="C23" s="102" t="s">
        <v>218</v>
      </c>
      <c r="E23" s="102"/>
      <c r="G23" s="102"/>
      <c r="O23" s="15" t="str">
        <f aca="false">IF($C16="","",$C16)</f>
        <v>Persoonlijke verzorging</v>
      </c>
    </row>
    <row r="24" customFormat="false" ht="15" hidden="false" customHeight="false" outlineLevel="0" collapsed="false">
      <c r="C24" s="102" t="s">
        <v>219</v>
      </c>
      <c r="E24" s="102"/>
      <c r="G24" s="102"/>
      <c r="O24" s="15" t="str">
        <f aca="false">IF($C17="","",$C17)</f>
        <v>Kleding</v>
      </c>
    </row>
    <row r="25" customFormat="false" ht="15" hidden="false" customHeight="false" outlineLevel="0" collapsed="false">
      <c r="C25" s="102" t="s">
        <v>220</v>
      </c>
      <c r="E25" s="102"/>
      <c r="G25" s="102"/>
      <c r="O25" s="15" t="str">
        <f aca="false">IF($C18="","",$C18)</f>
        <v>Huishouden</v>
      </c>
    </row>
    <row r="26" customFormat="false" ht="15" hidden="false" customHeight="false" outlineLevel="0" collapsed="false">
      <c r="C26" s="102" t="s">
        <v>221</v>
      </c>
      <c r="E26" s="102"/>
      <c r="O26" s="15" t="str">
        <f aca="false">IF($C19="","",$C19)</f>
        <v>Abonnementen &amp; media</v>
      </c>
    </row>
    <row r="27" customFormat="false" ht="15" hidden="false" customHeight="false" outlineLevel="0" collapsed="false">
      <c r="C27" s="102" t="s">
        <v>150</v>
      </c>
      <c r="E27" s="102"/>
      <c r="O27" s="15" t="str">
        <f aca="false">IF($C20="","",$C20)</f>
        <v>Sport &amp; fitness</v>
      </c>
    </row>
    <row r="28" customFormat="false" ht="15" hidden="false" customHeight="false" outlineLevel="0" collapsed="false">
      <c r="C28" s="102" t="s">
        <v>222</v>
      </c>
      <c r="E28" s="102"/>
      <c r="O28" s="15" t="str">
        <f aca="false">IF($C21="","",$C21)</f>
        <v>Vrije tijd &amp; uitjes</v>
      </c>
    </row>
    <row r="29" customFormat="false" ht="15" hidden="false" customHeight="false" outlineLevel="0" collapsed="false">
      <c r="C29" s="102" t="s">
        <v>223</v>
      </c>
      <c r="E29" s="102"/>
      <c r="O29" s="15" t="str">
        <f aca="false">IF($C22="","",$C22)</f>
        <v>Vakantie &amp; reizen</v>
      </c>
    </row>
    <row r="30" customFormat="false" ht="15" hidden="false" customHeight="false" outlineLevel="0" collapsed="false">
      <c r="C30" s="102" t="s">
        <v>224</v>
      </c>
      <c r="E30" s="102"/>
      <c r="O30" s="15" t="str">
        <f aca="false">IF($C23="","",$C23)</f>
        <v>Studie &amp; ontwikkeling</v>
      </c>
    </row>
    <row r="31" customFormat="false" ht="15" hidden="false" customHeight="false" outlineLevel="0" collapsed="false">
      <c r="C31" s="102" t="s">
        <v>225</v>
      </c>
      <c r="E31" s="102"/>
      <c r="O31" s="15" t="str">
        <f aca="false">IF($C24="","",$C24)</f>
        <v>Kinderen &amp; alimentatie</v>
      </c>
    </row>
    <row r="32" customFormat="false" ht="15" hidden="false" customHeight="false" outlineLevel="0" collapsed="false">
      <c r="C32" s="102"/>
      <c r="E32" s="102"/>
      <c r="O32" s="15" t="str">
        <f aca="false">IF($C25="","",$C25)</f>
        <v>Giften &amp; goede doelen</v>
      </c>
    </row>
    <row r="33" customFormat="false" ht="15" hidden="false" customHeight="false" outlineLevel="0" collapsed="false">
      <c r="C33" s="102"/>
      <c r="E33" s="102"/>
      <c r="O33" s="15" t="str">
        <f aca="false">IF($C26="","",$C26)</f>
        <v>Huisdieren</v>
      </c>
    </row>
    <row r="34" customFormat="false" ht="15" hidden="false" customHeight="false" outlineLevel="0" collapsed="false">
      <c r="C34" s="102"/>
      <c r="E34" s="102"/>
      <c r="O34" s="15" t="str">
        <f aca="false">IF($C27="","",$C27)</f>
        <v>Schulden &amp; aflossingen</v>
      </c>
    </row>
    <row r="35" customFormat="false" ht="15" hidden="false" customHeight="false" outlineLevel="0" collapsed="false">
      <c r="C35" s="102"/>
      <c r="E35" s="102"/>
      <c r="O35" s="15" t="str">
        <f aca="false">IF($C28="","",$C28)</f>
        <v>Sparen &amp; reserveringen</v>
      </c>
    </row>
    <row r="36" customFormat="false" ht="15" hidden="false" customHeight="false" outlineLevel="0" collapsed="false">
      <c r="E36" s="102"/>
      <c r="O36" s="15" t="str">
        <f aca="false">IF($C29="","",$C29)</f>
        <v>Zakelijk</v>
      </c>
    </row>
    <row r="37" customFormat="false" ht="15" hidden="false" customHeight="false" outlineLevel="0" collapsed="false">
      <c r="E37" s="102"/>
      <c r="O37" s="15" t="str">
        <f aca="false">IF($C30="","",$C30)</f>
        <v>Onvoorzien</v>
      </c>
    </row>
    <row r="38" customFormat="false" ht="15" hidden="false" customHeight="false" outlineLevel="0" collapsed="false">
      <c r="A38" s="12" t="s">
        <v>226</v>
      </c>
      <c r="E38" s="102"/>
      <c r="O38" s="15" t="str">
        <f aca="false">IF($C31="","",$C31)</f>
        <v>Overig</v>
      </c>
    </row>
    <row r="39" customFormat="false" ht="15" hidden="false" customHeight="false" outlineLevel="0" collapsed="false">
      <c r="A39" s="12" t="s">
        <v>227</v>
      </c>
      <c r="E39" s="102"/>
      <c r="O39" s="15" t="str">
        <f aca="false">IF($C32="","",$C32)</f>
        <v/>
      </c>
    </row>
    <row r="40" customFormat="false" ht="15" hidden="false" customHeight="false" outlineLevel="0" collapsed="false">
      <c r="E40" s="102"/>
      <c r="O40" s="15" t="str">
        <f aca="false">IF($C33="","",$C33)</f>
        <v/>
      </c>
    </row>
    <row r="41" customFormat="false" ht="15" hidden="false" customHeight="false" outlineLevel="0" collapsed="false">
      <c r="E41" s="102"/>
      <c r="O41" s="15" t="str">
        <f aca="false">IF($C34="","",$C34)</f>
        <v/>
      </c>
    </row>
    <row r="42" customFormat="false" ht="15" hidden="false" customHeight="false" outlineLevel="0" collapsed="false">
      <c r="E42" s="102"/>
      <c r="O42" s="15" t="str">
        <f aca="false">IF($C35="","",$C35)</f>
        <v/>
      </c>
    </row>
    <row r="43" customFormat="false" ht="15" hidden="false" customHeight="false" outlineLevel="0" collapsed="false">
      <c r="E43" s="102"/>
    </row>
    <row r="44" customFormat="false" ht="15" hidden="false" customHeight="false" outlineLevel="0" collapsed="false">
      <c r="E44" s="102"/>
      <c r="O44" s="118" t="s">
        <v>228</v>
      </c>
    </row>
    <row r="45" customFormat="false" ht="15" hidden="false" customHeight="false" outlineLevel="0" collapsed="false">
      <c r="E45" s="102"/>
    </row>
    <row r="46" customFormat="false" ht="15" hidden="false" customHeight="false" outlineLevel="0" collapsed="false">
      <c r="E46" s="102"/>
    </row>
    <row r="47" customFormat="false" ht="15" hidden="false" customHeight="false" outlineLevel="0" collapsed="false">
      <c r="E47" s="102"/>
    </row>
    <row r="48" customFormat="false" ht="15" hidden="false" customHeight="false" outlineLevel="0" collapsed="false">
      <c r="E48" s="102"/>
    </row>
    <row r="49" customFormat="false" ht="15" hidden="false" customHeight="false" outlineLevel="0" collapsed="false">
      <c r="E49" s="102"/>
    </row>
    <row r="50" customFormat="false" ht="15" hidden="false" customHeight="false" outlineLevel="0" collapsed="false">
      <c r="E50" s="102"/>
    </row>
    <row r="51" customFormat="false" ht="15" hidden="false" customHeight="false" outlineLevel="0" collapsed="false">
      <c r="E51" s="102"/>
    </row>
    <row r="52" customFormat="false" ht="15" hidden="false" customHeight="false" outlineLevel="0" collapsed="false">
      <c r="E52" s="102"/>
    </row>
    <row r="53" customFormat="false" ht="15" hidden="false" customHeight="false" outlineLevel="0" collapsed="false">
      <c r="E53" s="102"/>
    </row>
    <row r="54" customFormat="false" ht="15" hidden="false" customHeight="false" outlineLevel="0" collapsed="false">
      <c r="E54" s="102"/>
    </row>
    <row r="55" customFormat="false" ht="15" hidden="false" customHeight="false" outlineLevel="0" collapsed="false">
      <c r="E55" s="102"/>
    </row>
    <row r="56" customFormat="false" ht="15" hidden="false" customHeight="false" outlineLevel="0" collapsed="false">
      <c r="E56" s="102"/>
    </row>
    <row r="57" customFormat="false" ht="15" hidden="false" customHeight="false" outlineLevel="0" collapsed="false">
      <c r="E57" s="102"/>
    </row>
    <row r="58" customFormat="false" ht="15" hidden="false" customHeight="false" outlineLevel="0" collapsed="false">
      <c r="E58" s="102"/>
    </row>
    <row r="59" customFormat="false" ht="15" hidden="false" customHeight="false" outlineLevel="0" collapsed="false">
      <c r="E59" s="102"/>
    </row>
    <row r="60" customFormat="false" ht="15" hidden="false" customHeight="false" outlineLevel="0" collapsed="false">
      <c r="E60" s="102"/>
    </row>
    <row r="61" customFormat="false" ht="15" hidden="false" customHeight="false" outlineLevel="0" collapsed="false">
      <c r="E61" s="102"/>
    </row>
    <row r="62" customFormat="false" ht="15" hidden="false" customHeight="false" outlineLevel="0" collapsed="false">
      <c r="E62" s="102"/>
    </row>
    <row r="63" customFormat="false" ht="15" hidden="false" customHeight="false" outlineLevel="0" collapsed="false">
      <c r="E63" s="102"/>
    </row>
    <row r="64" customFormat="false" ht="15" hidden="false" customHeight="false" outlineLevel="0" collapsed="false">
      <c r="E64" s="102"/>
    </row>
    <row r="65" customFormat="false" ht="15" hidden="false" customHeight="false" outlineLevel="0" collapsed="false">
      <c r="E65" s="102"/>
    </row>
  </sheetData>
  <hyperlinks>
    <hyperlink ref="C1" location="'Start'!A1" display="⌂  Menu"/>
    <hyperlink ref="E1" location="'Dashboard'!A1" display="Dashboard ▸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2026-08-24T12:48:54Z</dcterms:created>
  <dc:creator>openpyxl</dc:creator>
  <dc:description/>
  <dc:language>en-US</dc:language>
  <cp:lastModifiedBy/>
  <dcterms:modified xsi:type="dcterms:W3CDTF">2026-08-24T12:48:59Z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